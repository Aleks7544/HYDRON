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omination Values" sheetId="1" r:id="rId4"/>
    <sheet state="visible" name="Reality Constants" sheetId="2" r:id="rId5"/>
    <sheet state="visible" name="Atomic Values" sheetId="3" r:id="rId6"/>
    <sheet state="visible" name="Price Matrix" sheetId="4" r:id="rId7"/>
    <sheet state="visible" name="Copy of Atomic Values" sheetId="5" r:id="rId8"/>
    <sheet state="visible" name="all_stable_isotopes_complete_no" sheetId="6" r:id="rId9"/>
  </sheets>
  <definedNames/>
  <calcPr/>
</workbook>
</file>

<file path=xl/sharedStrings.xml><?xml version="1.0" encoding="utf-8"?>
<sst xmlns="http://schemas.openxmlformats.org/spreadsheetml/2006/main" count="2835" uniqueCount="864">
  <si>
    <t>Denomination</t>
  </si>
  <si>
    <t>Number of Atomos</t>
  </si>
  <si>
    <t>Value in USD</t>
  </si>
  <si>
    <t>HYA</t>
  </si>
  <si>
    <t>HYB</t>
  </si>
  <si>
    <t>HYG</t>
  </si>
  <si>
    <t>HYD</t>
  </si>
  <si>
    <t>HYE</t>
  </si>
  <si>
    <t>HYZ</t>
  </si>
  <si>
    <t>test</t>
  </si>
  <si>
    <t>Constant Name</t>
  </si>
  <si>
    <t>Constant Value</t>
  </si>
  <si>
    <t>Atomic Mass (kg)</t>
  </si>
  <si>
    <t>Speed of Light</t>
  </si>
  <si>
    <t>eV/J</t>
  </si>
  <si>
    <t>kWh/J</t>
  </si>
  <si>
    <t>Avogadro Constant</t>
  </si>
  <si>
    <t>Energy Price per kWh (USD)</t>
  </si>
  <si>
    <t>Energy Price per J (USD)</t>
  </si>
  <si>
    <t>Name</t>
  </si>
  <si>
    <t>Symbol</t>
  </si>
  <si>
    <t>Mass</t>
  </si>
  <si>
    <t>Abundance</t>
  </si>
  <si>
    <t>Atomic Mass in kg</t>
  </si>
  <si>
    <t>Atomic Energy (J)</t>
  </si>
  <si>
    <t>Atomic Energy (eV)</t>
  </si>
  <si>
    <t>Atomic Energy (kWh)</t>
  </si>
  <si>
    <t>Price per KG</t>
  </si>
  <si>
    <t>Atomic Price (USD)</t>
  </si>
  <si>
    <t>E mc2 price (USD)</t>
  </si>
  <si>
    <t>Hydrogen</t>
  </si>
  <si>
    <t>H(1)</t>
  </si>
  <si>
    <t>H(2)</t>
  </si>
  <si>
    <t>Helium</t>
  </si>
  <si>
    <t>He(3)</t>
  </si>
  <si>
    <t>He(4)</t>
  </si>
  <si>
    <t>Lithium</t>
  </si>
  <si>
    <t>Li(6)</t>
  </si>
  <si>
    <t>Li(7)</t>
  </si>
  <si>
    <t>Beryllium</t>
  </si>
  <si>
    <t>Be(9)</t>
  </si>
  <si>
    <t>Boron</t>
  </si>
  <si>
    <t>B(10)</t>
  </si>
  <si>
    <t>B(11)</t>
  </si>
  <si>
    <t>Carbon</t>
  </si>
  <si>
    <t>C(12)</t>
  </si>
  <si>
    <t>C(13)</t>
  </si>
  <si>
    <t>Nitrogen</t>
  </si>
  <si>
    <t>N(14)</t>
  </si>
  <si>
    <t>N(15)</t>
  </si>
  <si>
    <t>Oxygen</t>
  </si>
  <si>
    <t>O(16)</t>
  </si>
  <si>
    <t>O(17)</t>
  </si>
  <si>
    <t>O(18)</t>
  </si>
  <si>
    <t>Fluorine</t>
  </si>
  <si>
    <t>F(19)</t>
  </si>
  <si>
    <t>Neon</t>
  </si>
  <si>
    <t>Ne(20)</t>
  </si>
  <si>
    <t>Ne(21)</t>
  </si>
  <si>
    <t>Ne(22)</t>
  </si>
  <si>
    <t>Sodium</t>
  </si>
  <si>
    <t>Na(23)</t>
  </si>
  <si>
    <t>Magnesium</t>
  </si>
  <si>
    <t>Mg(24)</t>
  </si>
  <si>
    <t>Mg(25)</t>
  </si>
  <si>
    <t>Mg(26)</t>
  </si>
  <si>
    <t>Aluminum</t>
  </si>
  <si>
    <t>Al(27)</t>
  </si>
  <si>
    <t>Silicon</t>
  </si>
  <si>
    <t>Si(28)</t>
  </si>
  <si>
    <t>Si(29)</t>
  </si>
  <si>
    <t>Si(30)</t>
  </si>
  <si>
    <t>Phosphorus</t>
  </si>
  <si>
    <t>P(31)</t>
  </si>
  <si>
    <t>Sulfur</t>
  </si>
  <si>
    <t>S(32)</t>
  </si>
  <si>
    <t>S(33)</t>
  </si>
  <si>
    <t>S(34)</t>
  </si>
  <si>
    <t>Chlorine</t>
  </si>
  <si>
    <t>Cl(35)</t>
  </si>
  <si>
    <t>S(36)</t>
  </si>
  <si>
    <t>Argon</t>
  </si>
  <si>
    <t>Ar(36)</t>
  </si>
  <si>
    <t>Cl(37)</t>
  </si>
  <si>
    <t>Ar(38)</t>
  </si>
  <si>
    <t>Potassium</t>
  </si>
  <si>
    <t>K(39)</t>
  </si>
  <si>
    <t>Ar(40)</t>
  </si>
  <si>
    <t>Calcium</t>
  </si>
  <si>
    <t>Ca(40)</t>
  </si>
  <si>
    <t>K(40)</t>
  </si>
  <si>
    <t>K(41)</t>
  </si>
  <si>
    <t>Ca(42)</t>
  </si>
  <si>
    <t>Ca(43)</t>
  </si>
  <si>
    <t>Ca(44)</t>
  </si>
  <si>
    <t>Scandium</t>
  </si>
  <si>
    <t>Sc(45)</t>
  </si>
  <si>
    <t>Titanium</t>
  </si>
  <si>
    <t>Ti(46)</t>
  </si>
  <si>
    <t>Ca(46)</t>
  </si>
  <si>
    <t>Ti(47)</t>
  </si>
  <si>
    <t>Ti(48)</t>
  </si>
  <si>
    <t>Ca(48)</t>
  </si>
  <si>
    <t>Ti(49)</t>
  </si>
  <si>
    <t>Ti(50)</t>
  </si>
  <si>
    <t>Chromium</t>
  </si>
  <si>
    <t>Cr(50)</t>
  </si>
  <si>
    <t>Vanadium</t>
  </si>
  <si>
    <t>V(50)</t>
  </si>
  <si>
    <t>V(51)</t>
  </si>
  <si>
    <t>Cr(52)</t>
  </si>
  <si>
    <t>Cr(53)</t>
  </si>
  <si>
    <t>Cr(54)</t>
  </si>
  <si>
    <t>Iron</t>
  </si>
  <si>
    <t>Fe(54)</t>
  </si>
  <si>
    <t>Manganese</t>
  </si>
  <si>
    <t>Mn(55)</t>
  </si>
  <si>
    <t>Fe(56)</t>
  </si>
  <si>
    <t>Fe(57)</t>
  </si>
  <si>
    <t>Fe(58)</t>
  </si>
  <si>
    <t>Nickel</t>
  </si>
  <si>
    <t>Ni(58)</t>
  </si>
  <si>
    <t>Cobalt</t>
  </si>
  <si>
    <t>Co(59)</t>
  </si>
  <si>
    <t>Ni(60)</t>
  </si>
  <si>
    <t>Ni(61)</t>
  </si>
  <si>
    <t>Ni(62)</t>
  </si>
  <si>
    <t>Copper</t>
  </si>
  <si>
    <t>Cu(63)</t>
  </si>
  <si>
    <t>Ni(64)</t>
  </si>
  <si>
    <t>Zinc</t>
  </si>
  <si>
    <t>Zn(64)</t>
  </si>
  <si>
    <t>Cu(65)</t>
  </si>
  <si>
    <t>Zn(66)</t>
  </si>
  <si>
    <t>Zn(67)</t>
  </si>
  <si>
    <t>Zn(68)</t>
  </si>
  <si>
    <t>Gallium</t>
  </si>
  <si>
    <t>Ga(69)</t>
  </si>
  <si>
    <t>Germanium</t>
  </si>
  <si>
    <t>Ge(70)</t>
  </si>
  <si>
    <t>Zn(70)</t>
  </si>
  <si>
    <t>Ga(71)</t>
  </si>
  <si>
    <t>Ge(72)</t>
  </si>
  <si>
    <t>Ge(73)</t>
  </si>
  <si>
    <t>Ge(74)</t>
  </si>
  <si>
    <t>Selenium</t>
  </si>
  <si>
    <t>Se(74)</t>
  </si>
  <si>
    <t>Arsenic</t>
  </si>
  <si>
    <t>As(75)</t>
  </si>
  <si>
    <t>Se(76)</t>
  </si>
  <si>
    <t>Ge(76)</t>
  </si>
  <si>
    <t>Se(77)</t>
  </si>
  <si>
    <t>Se(78)</t>
  </si>
  <si>
    <t>Krypton</t>
  </si>
  <si>
    <t>Kr(78)</t>
  </si>
  <si>
    <t>Bromine</t>
  </si>
  <si>
    <t>Br(79)</t>
  </si>
  <si>
    <t>Kr(80)</t>
  </si>
  <si>
    <t>Se(80)</t>
  </si>
  <si>
    <t>Br(81)</t>
  </si>
  <si>
    <t>Kr(82)</t>
  </si>
  <si>
    <t>Se(82)</t>
  </si>
  <si>
    <t>Kr(83)</t>
  </si>
  <si>
    <t>Kr(84)</t>
  </si>
  <si>
    <t>Strontium</t>
  </si>
  <si>
    <t>Sr(84)</t>
  </si>
  <si>
    <t>Rubidium</t>
  </si>
  <si>
    <t>Rb(85)</t>
  </si>
  <si>
    <t>Sr(86)</t>
  </si>
  <si>
    <t>Kr(86)</t>
  </si>
  <si>
    <t>Sr(87)</t>
  </si>
  <si>
    <t>Rb(87)</t>
  </si>
  <si>
    <t>Sr(88)</t>
  </si>
  <si>
    <t>Yttrium</t>
  </si>
  <si>
    <t>Y(89)</t>
  </si>
  <si>
    <t>Zirconium</t>
  </si>
  <si>
    <t>Zr(90)</t>
  </si>
  <si>
    <t>Zr(91)</t>
  </si>
  <si>
    <t>Zr(92)</t>
  </si>
  <si>
    <t>Molybdenum</t>
  </si>
  <si>
    <t>Mo(92)</t>
  </si>
  <si>
    <t>Niobium</t>
  </si>
  <si>
    <t>Nb(93)</t>
  </si>
  <si>
    <t>Mo(94)</t>
  </si>
  <si>
    <t>Zr(94)</t>
  </si>
  <si>
    <t>Mo(95)</t>
  </si>
  <si>
    <t>Mo(96)</t>
  </si>
  <si>
    <t>Ruthenium</t>
  </si>
  <si>
    <t>Ru(96)</t>
  </si>
  <si>
    <t>Zr(96)</t>
  </si>
  <si>
    <t>Mo(97)</t>
  </si>
  <si>
    <t>Ru(98)</t>
  </si>
  <si>
    <t>Mo(98)</t>
  </si>
  <si>
    <t>Ru(99)</t>
  </si>
  <si>
    <t>Ru(100)</t>
  </si>
  <si>
    <t>Mo(100)</t>
  </si>
  <si>
    <t>Ru(101)</t>
  </si>
  <si>
    <t>Ru(102)</t>
  </si>
  <si>
    <t>Palladium</t>
  </si>
  <si>
    <t>Pd(102)</t>
  </si>
  <si>
    <t>Rhodium</t>
  </si>
  <si>
    <t>Rh(103)</t>
  </si>
  <si>
    <t>Pd(104)</t>
  </si>
  <si>
    <t>Ru(104)</t>
  </si>
  <si>
    <t>Pd(105)</t>
  </si>
  <si>
    <t>Pd(106)</t>
  </si>
  <si>
    <t>Cadmium</t>
  </si>
  <si>
    <t>Cd(106)</t>
  </si>
  <si>
    <t>Silver</t>
  </si>
  <si>
    <t>Ag(107)</t>
  </si>
  <si>
    <t>Pd(108)</t>
  </si>
  <si>
    <t>Cd(108)</t>
  </si>
  <si>
    <t>Ag(109)</t>
  </si>
  <si>
    <t>Cd(110)</t>
  </si>
  <si>
    <t>Pd(110)</t>
  </si>
  <si>
    <t>Cd(111)</t>
  </si>
  <si>
    <t>Cd(112)</t>
  </si>
  <si>
    <t>Tin</t>
  </si>
  <si>
    <t>Sn(112)</t>
  </si>
  <si>
    <t>Indium</t>
  </si>
  <si>
    <t>In(113)</t>
  </si>
  <si>
    <t>Cd(113)</t>
  </si>
  <si>
    <t>Sn(114)</t>
  </si>
  <si>
    <t>Cd(114)</t>
  </si>
  <si>
    <t>Sn(115)</t>
  </si>
  <si>
    <t>In(115)</t>
  </si>
  <si>
    <t>Sn(116)</t>
  </si>
  <si>
    <t>Cd(116)</t>
  </si>
  <si>
    <t>Sn(117)</t>
  </si>
  <si>
    <t>Sn(118)</t>
  </si>
  <si>
    <t>Sn(119)</t>
  </si>
  <si>
    <t>Sn(120)</t>
  </si>
  <si>
    <t>Tellurium</t>
  </si>
  <si>
    <t>Te(120)</t>
  </si>
  <si>
    <t>Antimony</t>
  </si>
  <si>
    <t>Sb(121)</t>
  </si>
  <si>
    <t>Te(122)</t>
  </si>
  <si>
    <t>Sn(122)</t>
  </si>
  <si>
    <t>Sb(123)</t>
  </si>
  <si>
    <t>Te(123)</t>
  </si>
  <si>
    <t>Te(124)</t>
  </si>
  <si>
    <t>Sn(124)</t>
  </si>
  <si>
    <t>Xenon</t>
  </si>
  <si>
    <t>Xe(124)</t>
  </si>
  <si>
    <t>Te(125)</t>
  </si>
  <si>
    <t>Te(126)</t>
  </si>
  <si>
    <t>Xe(126)</t>
  </si>
  <si>
    <t>Iodine</t>
  </si>
  <si>
    <t>I(127)</t>
  </si>
  <si>
    <t>Xe(128)</t>
  </si>
  <si>
    <t>Te(128)</t>
  </si>
  <si>
    <t>Xe(129)</t>
  </si>
  <si>
    <t>Xe(130)</t>
  </si>
  <si>
    <t>Te(130)</t>
  </si>
  <si>
    <t>Barium</t>
  </si>
  <si>
    <t>Ba(130)</t>
  </si>
  <si>
    <t>Xe(131)</t>
  </si>
  <si>
    <t>Xe(132)</t>
  </si>
  <si>
    <t>Ba(132)</t>
  </si>
  <si>
    <t>Cesium</t>
  </si>
  <si>
    <t>Cs(133)</t>
  </si>
  <si>
    <t>Ba(134)</t>
  </si>
  <si>
    <t>Xe(134)</t>
  </si>
  <si>
    <t>Ba(135)</t>
  </si>
  <si>
    <t>Ba(136)</t>
  </si>
  <si>
    <t>Cerium</t>
  </si>
  <si>
    <t>Ce(136)</t>
  </si>
  <si>
    <t>Xe(136)</t>
  </si>
  <si>
    <t>Ba(137)</t>
  </si>
  <si>
    <t>Ba(138)</t>
  </si>
  <si>
    <t>Ce(138)</t>
  </si>
  <si>
    <t>Lanthanum</t>
  </si>
  <si>
    <t>La(138)</t>
  </si>
  <si>
    <t>La(139)</t>
  </si>
  <si>
    <t>Ce(140)</t>
  </si>
  <si>
    <t>Praseodymium</t>
  </si>
  <si>
    <t>Pr(141)</t>
  </si>
  <si>
    <t>Neodymium</t>
  </si>
  <si>
    <t>Nd(142)</t>
  </si>
  <si>
    <t>Ce(142)</t>
  </si>
  <si>
    <t>Nd(143)</t>
  </si>
  <si>
    <t>Nd(144)</t>
  </si>
  <si>
    <t>Samarium</t>
  </si>
  <si>
    <t>Sm(144)</t>
  </si>
  <si>
    <t>Nd(145)</t>
  </si>
  <si>
    <t>Nd(146)</t>
  </si>
  <si>
    <t>Sm(147)</t>
  </si>
  <si>
    <t>Sm(148)</t>
  </si>
  <si>
    <t>Nd(148)</t>
  </si>
  <si>
    <t>Sm(149)</t>
  </si>
  <si>
    <t>Sm(150)</t>
  </si>
  <si>
    <t>Nd(150)</t>
  </si>
  <si>
    <t>Europium</t>
  </si>
  <si>
    <t>Eu(151)</t>
  </si>
  <si>
    <t>Sm(152)</t>
  </si>
  <si>
    <t>Gadolinium</t>
  </si>
  <si>
    <t>Gd(152)</t>
  </si>
  <si>
    <t>Eu(153)</t>
  </si>
  <si>
    <t>Gd(154)</t>
  </si>
  <si>
    <t>Sm(154)</t>
  </si>
  <si>
    <t>Gd(155)</t>
  </si>
  <si>
    <t>Gd(156)</t>
  </si>
  <si>
    <t>Dysprosium</t>
  </si>
  <si>
    <t>Dy(156)</t>
  </si>
  <si>
    <t>Gd(157)</t>
  </si>
  <si>
    <t>Gd(158)</t>
  </si>
  <si>
    <t>Dy(158)</t>
  </si>
  <si>
    <t>Terbium</t>
  </si>
  <si>
    <t>Tb(159)</t>
  </si>
  <si>
    <t>Dy(160)</t>
  </si>
  <si>
    <t>Gd(160)</t>
  </si>
  <si>
    <t>Dy(161)</t>
  </si>
  <si>
    <t>Dy(162)</t>
  </si>
  <si>
    <t>Erbium</t>
  </si>
  <si>
    <t>Er(162)</t>
  </si>
  <si>
    <t>Dy(163)</t>
  </si>
  <si>
    <t>Dy(164)</t>
  </si>
  <si>
    <t>Er(164)</t>
  </si>
  <si>
    <t>Holmium</t>
  </si>
  <si>
    <t>Ho(165)</t>
  </si>
  <si>
    <t>Er(166)</t>
  </si>
  <si>
    <t>Er(167)</t>
  </si>
  <si>
    <t>Er(168)</t>
  </si>
  <si>
    <t>Ytterbium</t>
  </si>
  <si>
    <t>Yb(168)</t>
  </si>
  <si>
    <t>Thulium</t>
  </si>
  <si>
    <t>Tm(169)</t>
  </si>
  <si>
    <t>Yb(170)</t>
  </si>
  <si>
    <t>Er(170)</t>
  </si>
  <si>
    <t>Yb(171)</t>
  </si>
  <si>
    <t>Yb(172)</t>
  </si>
  <si>
    <t>Yb(173)</t>
  </si>
  <si>
    <t>Yb(174)</t>
  </si>
  <si>
    <t>Hafnium</t>
  </si>
  <si>
    <t>Hf(174)</t>
  </si>
  <si>
    <t>Lutetium</t>
  </si>
  <si>
    <t>Lu(175)</t>
  </si>
  <si>
    <t>Hf(176)</t>
  </si>
  <si>
    <t>Yb(176)</t>
  </si>
  <si>
    <t>Lu(176)</t>
  </si>
  <si>
    <t>Hf(177)</t>
  </si>
  <si>
    <t>Hf(178)</t>
  </si>
  <si>
    <t>Hf(179)</t>
  </si>
  <si>
    <t>Hf(180)</t>
  </si>
  <si>
    <t>Tungsten</t>
  </si>
  <si>
    <t>W(180)</t>
  </si>
  <si>
    <t>Tantalum</t>
  </si>
  <si>
    <t>Ta(180)</t>
  </si>
  <si>
    <t>Ta(181)</t>
  </si>
  <si>
    <t>W(182)</t>
  </si>
  <si>
    <t>W(183)</t>
  </si>
  <si>
    <t>W(184)</t>
  </si>
  <si>
    <t>Osmium</t>
  </si>
  <si>
    <t>Os(184)</t>
  </si>
  <si>
    <t>Rhenium</t>
  </si>
  <si>
    <t>Re(185)</t>
  </si>
  <si>
    <t>Os(186)</t>
  </si>
  <si>
    <t>W(186)</t>
  </si>
  <si>
    <t>Os(187)</t>
  </si>
  <si>
    <t>Re(187)</t>
  </si>
  <si>
    <t>Os(188)</t>
  </si>
  <si>
    <t>Os(189)</t>
  </si>
  <si>
    <t>Os(190)</t>
  </si>
  <si>
    <t>Platinum</t>
  </si>
  <si>
    <t>Pt(190)</t>
  </si>
  <si>
    <t>Iridium</t>
  </si>
  <si>
    <t>Ir(191)</t>
  </si>
  <si>
    <t>Pt(192)</t>
  </si>
  <si>
    <t>Os(192)</t>
  </si>
  <si>
    <t>Ir(193)</t>
  </si>
  <si>
    <t>Pt(194)</t>
  </si>
  <si>
    <t>Pt(195)</t>
  </si>
  <si>
    <t>Pt(196)</t>
  </si>
  <si>
    <t>Mercury</t>
  </si>
  <si>
    <t>Hg(196)</t>
  </si>
  <si>
    <t>Gold</t>
  </si>
  <si>
    <t>Au(197)</t>
  </si>
  <si>
    <t>Hg(198)</t>
  </si>
  <si>
    <t>Pt(198)</t>
  </si>
  <si>
    <t>Hg(199)</t>
  </si>
  <si>
    <t>Hg(200)</t>
  </si>
  <si>
    <t>Hg(201)</t>
  </si>
  <si>
    <t>Hg(202)</t>
  </si>
  <si>
    <t>Thallium</t>
  </si>
  <si>
    <t>Tl(203)</t>
  </si>
  <si>
    <t>Lead</t>
  </si>
  <si>
    <t>Pb(204)</t>
  </si>
  <si>
    <t>Hg(204)</t>
  </si>
  <si>
    <t>Tl(205)</t>
  </si>
  <si>
    <t>Pb(206)</t>
  </si>
  <si>
    <t>Pb(207)</t>
  </si>
  <si>
    <t>Pb(208)</t>
  </si>
  <si>
    <t>Bismuth</t>
  </si>
  <si>
    <t>Bi(209)</t>
  </si>
  <si>
    <t>Thorium</t>
  </si>
  <si>
    <t>Th(232)</t>
  </si>
  <si>
    <t>Uranium</t>
  </si>
  <si>
    <t>U(234)</t>
  </si>
  <si>
    <t>U(235)</t>
  </si>
  <si>
    <t>U(238)</t>
  </si>
  <si>
    <t>Abund.</t>
  </si>
  <si>
    <t>Price per kg</t>
  </si>
  <si>
    <t>Source / Details</t>
  </si>
  <si>
    <t>Industrial hydrogen gas - DOE pricing (August 2025)</t>
  </si>
  <si>
    <t>Cambridge Isotope Laboratories - deuterium (August 2025)</t>
  </si>
  <si>
    <t>Interlune lunar mining project estimate (August 2025)</t>
  </si>
  <si>
    <t>Noble gas market pricing (August 2025)</t>
  </si>
  <si>
    <t>Nuclear materials market - enriched Li-6 (August 2025)</t>
  </si>
  <si>
    <t>Shanghai Metal Market - lithium carbonate (August 11, 2025)</t>
  </si>
  <si>
    <t>Industrial beryllium metal pricing (August 2025)</t>
  </si>
  <si>
    <t>Enriched boron-10 - specialized suppliers (August 2025)</t>
  </si>
  <si>
    <t>Industrial boric acid pricing (August 2025)</t>
  </si>
  <si>
    <t>Industrial carbon/graphite (August 2025)</t>
  </si>
  <si>
    <t>Cambridge Isotopes - pricing varies by compound (August 2025)</t>
  </si>
  <si>
    <t>Industrial nitrogen gas (August 2025)</t>
  </si>
  <si>
    <t>Sigma Aldrich - calculated from pricing (August 2025)</t>
  </si>
  <si>
    <t>Industrial oxygen gas (August 2025)</t>
  </si>
  <si>
    <t>Minor isotope - research quantities only</t>
  </si>
  <si>
    <t>Medical isotope applications - specialized suppliers</t>
  </si>
  <si>
    <t>Industrial fluorine gas pricing (August 2025)</t>
  </si>
  <si>
    <t>Industrial neon gas (August 2025)</t>
  </si>
  <si>
    <t>Trace isotope - research quantities only</t>
  </si>
  <si>
    <t>Minor isotope - research use only</t>
  </si>
  <si>
    <t>Industrial sodium metal (August 2025)</t>
  </si>
  <si>
    <t>Industrial magnesium metal (August 2025)</t>
  </si>
  <si>
    <t>Enriched isotope - specialized suppliers</t>
  </si>
  <si>
    <t>London Metal Exchange (August 11, 2025)</t>
  </si>
  <si>
    <t>Industrial silicon metal (August 2025)</t>
  </si>
  <si>
    <t>Minor isotope - specialized applications</t>
  </si>
  <si>
    <t>Industrial phosphorus (August 2025)</t>
  </si>
  <si>
    <t>Industrial sulfur (August 2025)</t>
  </si>
  <si>
    <t>Minor isotope - trace quantities only</t>
  </si>
  <si>
    <t>Trace isotope - research use only</t>
  </si>
  <si>
    <t>Industrial chlorine gas (August 2025)</t>
  </si>
  <si>
    <t>Minor isotope - specialized suppliers</t>
  </si>
  <si>
    <t>Industrial argon gas (August 2025)</t>
  </si>
  <si>
    <t>Industrial potassium compounds (August 2025)</t>
  </si>
  <si>
    <t>Radioactive isotope - requires special licensing</t>
  </si>
  <si>
    <t>Industrial calcium compounds (August 2025)</t>
  </si>
  <si>
    <t>Minor isotope - research applications</t>
  </si>
  <si>
    <t>Shanghai Metal Market - 5N purity (August 11, 2025)</t>
  </si>
  <si>
    <t>Industrial titanium metal (August 2025)</t>
  </si>
  <si>
    <t>Industrial vanadium metal (August 2025)</t>
  </si>
  <si>
    <t>Industrial chromium metal (August 2025)</t>
  </si>
  <si>
    <t>Industrial manganese metal (August 2025)</t>
  </si>
  <si>
    <t>Trading Economics - iron ore pricing (August 11, 2025)</t>
  </si>
  <si>
    <t>Industrial cobalt metal (August 2025)</t>
  </si>
  <si>
    <t>Shanghai Metal Market (August 11, 2025)</t>
  </si>
  <si>
    <t>Industrial arsenic pricing (August 2025)</t>
  </si>
  <si>
    <t>Industrial selenium metal (August 2025)</t>
  </si>
  <si>
    <t>Industrial bromine pricing (August 2025)</t>
  </si>
  <si>
    <t>Industrial krypton gas (August 2025)</t>
  </si>
  <si>
    <t>Industrial rubidium compounds (August 2025)</t>
  </si>
  <si>
    <t>Industrial strontium compounds (August 2025)</t>
  </si>
  <si>
    <t>Industrial zirconium metal (August 2025)</t>
  </si>
  <si>
    <t>Industrial niobium metal (August 2025)</t>
  </si>
  <si>
    <t>China Tungsten Industry (August 11, 2025)</t>
  </si>
  <si>
    <t>Precious metals market (August 2025)</t>
  </si>
  <si>
    <t>Trading Economics (August 11, 2025)</t>
  </si>
  <si>
    <t>Industrial cadmium metal (August 2025)</t>
  </si>
  <si>
    <t>Industrial antimony metal (August 2025)</t>
  </si>
  <si>
    <t>Rare earth market estimate (August 2025)</t>
  </si>
  <si>
    <t>Industrial hafnium metal (August 2025)</t>
  </si>
  <si>
    <t>Industrial tantalum metal (August 2025)</t>
  </si>
  <si>
    <t>China Tungsten Industry (August 2025)</t>
  </si>
  <si>
    <t>Industrial rhenium metal (August 2025)</t>
  </si>
  <si>
    <t>Industrial mercury pricing (August 2025)</t>
  </si>
  <si>
    <t>Industrial thallium compounds (August 2025)</t>
  </si>
  <si>
    <t>Industrial bismuth metal (August 2025)</t>
  </si>
  <si>
    <t>Nuclear materials market (August 2025)</t>
  </si>
  <si>
    <t>Atomic Price Weighted (USD)</t>
  </si>
  <si>
    <t>H-1</t>
  </si>
  <si>
    <t>H-2</t>
  </si>
  <si>
    <t>He-3</t>
  </si>
  <si>
    <t>He-4</t>
  </si>
  <si>
    <t>Li-6</t>
  </si>
  <si>
    <t>Li-7</t>
  </si>
  <si>
    <t>Be-9</t>
  </si>
  <si>
    <t>B-10</t>
  </si>
  <si>
    <t>B-11</t>
  </si>
  <si>
    <t>C-12</t>
  </si>
  <si>
    <t>C-13</t>
  </si>
  <si>
    <t>N-14</t>
  </si>
  <si>
    <t>N-15</t>
  </si>
  <si>
    <t>O-16</t>
  </si>
  <si>
    <t>O-17</t>
  </si>
  <si>
    <t>O-18</t>
  </si>
  <si>
    <t>F-19</t>
  </si>
  <si>
    <t>Ne-20</t>
  </si>
  <si>
    <t>Ne-21</t>
  </si>
  <si>
    <t>Ne-22</t>
  </si>
  <si>
    <t>Na-23</t>
  </si>
  <si>
    <t>Mg-24</t>
  </si>
  <si>
    <t>Mg-25</t>
  </si>
  <si>
    <t>Mg-26</t>
  </si>
  <si>
    <t>Al-27</t>
  </si>
  <si>
    <t>Si-28</t>
  </si>
  <si>
    <t>Si-29</t>
  </si>
  <si>
    <t>Si-30</t>
  </si>
  <si>
    <t>P-31</t>
  </si>
  <si>
    <t>S-32</t>
  </si>
  <si>
    <t>S-33</t>
  </si>
  <si>
    <t>S-34</t>
  </si>
  <si>
    <t>S-36</t>
  </si>
  <si>
    <t>Cl-35</t>
  </si>
  <si>
    <t>Cl-37</t>
  </si>
  <si>
    <t>Ar-36</t>
  </si>
  <si>
    <t>Ar-38</t>
  </si>
  <si>
    <t>Ar-40</t>
  </si>
  <si>
    <t>K-39</t>
  </si>
  <si>
    <t>K-41</t>
  </si>
  <si>
    <t>Ca-40</t>
  </si>
  <si>
    <t>Ca-42</t>
  </si>
  <si>
    <t>Ca-43</t>
  </si>
  <si>
    <t>Ca-44</t>
  </si>
  <si>
    <t>Ca-46</t>
  </si>
  <si>
    <t>Sc-45</t>
  </si>
  <si>
    <t>Ti-46</t>
  </si>
  <si>
    <t>Ti-47</t>
  </si>
  <si>
    <t>Ti-48</t>
  </si>
  <si>
    <t>Ti-49</t>
  </si>
  <si>
    <t>Ti-50</t>
  </si>
  <si>
    <t>V-50</t>
  </si>
  <si>
    <t>V-51</t>
  </si>
  <si>
    <t>Cr-50</t>
  </si>
  <si>
    <t>Cr-52</t>
  </si>
  <si>
    <t>Cr-53</t>
  </si>
  <si>
    <t>Cr-54</t>
  </si>
  <si>
    <t>Mn-55</t>
  </si>
  <si>
    <t>Fe-54</t>
  </si>
  <si>
    <t>Fe-56</t>
  </si>
  <si>
    <t>Fe-57</t>
  </si>
  <si>
    <t>Fe-58</t>
  </si>
  <si>
    <t>Co-59</t>
  </si>
  <si>
    <t>Ni-58</t>
  </si>
  <si>
    <t>Ni-60</t>
  </si>
  <si>
    <t>Ni-61</t>
  </si>
  <si>
    <t>Ni-62</t>
  </si>
  <si>
    <t>Ni-64</t>
  </si>
  <si>
    <t>Cu-63</t>
  </si>
  <si>
    <t>Cu-65</t>
  </si>
  <si>
    <t>Zn-64</t>
  </si>
  <si>
    <t>Zn-66</t>
  </si>
  <si>
    <t>Zn-67</t>
  </si>
  <si>
    <t>Zn-68</t>
  </si>
  <si>
    <t>Zn-70</t>
  </si>
  <si>
    <t>Ga-69</t>
  </si>
  <si>
    <t>Ga-71</t>
  </si>
  <si>
    <t>Ge-70</t>
  </si>
  <si>
    <t>Ge-72</t>
  </si>
  <si>
    <t>Ge-73</t>
  </si>
  <si>
    <t>Ge-74</t>
  </si>
  <si>
    <t>Ge-76</t>
  </si>
  <si>
    <t>As-75</t>
  </si>
  <si>
    <t>Se-74</t>
  </si>
  <si>
    <t>Se-76</t>
  </si>
  <si>
    <t>Se-77</t>
  </si>
  <si>
    <t>Se-78</t>
  </si>
  <si>
    <t>Se-80</t>
  </si>
  <si>
    <t>Se-82</t>
  </si>
  <si>
    <t>Br-79</t>
  </si>
  <si>
    <t>Br-81</t>
  </si>
  <si>
    <t>Kr-78</t>
  </si>
  <si>
    <t>Kr-80</t>
  </si>
  <si>
    <t>Kr-82</t>
  </si>
  <si>
    <t>Kr-83</t>
  </si>
  <si>
    <t>Kr-84</t>
  </si>
  <si>
    <t>Kr-86</t>
  </si>
  <si>
    <t>Rb-85</t>
  </si>
  <si>
    <t>Rb-87</t>
  </si>
  <si>
    <t>Sr-84</t>
  </si>
  <si>
    <t>Sr-86</t>
  </si>
  <si>
    <t>Sr-87</t>
  </si>
  <si>
    <t>Sr-88</t>
  </si>
  <si>
    <t>Y-89</t>
  </si>
  <si>
    <t>Zr-90</t>
  </si>
  <si>
    <t>Zr-91</t>
  </si>
  <si>
    <t>Zr-92</t>
  </si>
  <si>
    <t>Zr-94</t>
  </si>
  <si>
    <t>Zr-96</t>
  </si>
  <si>
    <t>Nb-93</t>
  </si>
  <si>
    <t>Mo-92</t>
  </si>
  <si>
    <t>Mo-94</t>
  </si>
  <si>
    <t>Mo-95</t>
  </si>
  <si>
    <t>Mo-96</t>
  </si>
  <si>
    <t>Mo-97</t>
  </si>
  <si>
    <t>Mo-98</t>
  </si>
  <si>
    <t>Mo-100</t>
  </si>
  <si>
    <t>Ru-96</t>
  </si>
  <si>
    <t>Ru-98</t>
  </si>
  <si>
    <t>Ru-99</t>
  </si>
  <si>
    <t>Ru-100</t>
  </si>
  <si>
    <t>Ru-101</t>
  </si>
  <si>
    <t>Ru-102</t>
  </si>
  <si>
    <t>Ru-104</t>
  </si>
  <si>
    <t>Rh-103</t>
  </si>
  <si>
    <t>Pd-102</t>
  </si>
  <si>
    <t>Pd-104</t>
  </si>
  <si>
    <t>Pd-105</t>
  </si>
  <si>
    <t>Pd-106</t>
  </si>
  <si>
    <t>Pd-108</t>
  </si>
  <si>
    <t>Pd-110</t>
  </si>
  <si>
    <t>Ag-107</t>
  </si>
  <si>
    <t>Ag-109</t>
  </si>
  <si>
    <t>Cd-106</t>
  </si>
  <si>
    <t>Cd-108</t>
  </si>
  <si>
    <t>Cd-110</t>
  </si>
  <si>
    <t>Cd-111</t>
  </si>
  <si>
    <t>Cd-112</t>
  </si>
  <si>
    <t>Cd-113</t>
  </si>
  <si>
    <t>Cd-114</t>
  </si>
  <si>
    <t>Cd-116</t>
  </si>
  <si>
    <t>In-113</t>
  </si>
  <si>
    <t>In-115</t>
  </si>
  <si>
    <t>Sn-112</t>
  </si>
  <si>
    <t>Sn-114</t>
  </si>
  <si>
    <t>Sn-115</t>
  </si>
  <si>
    <t>Sn-116</t>
  </si>
  <si>
    <t>Sn-117</t>
  </si>
  <si>
    <t>Sn-118</t>
  </si>
  <si>
    <t>Sn-119</t>
  </si>
  <si>
    <t>Sn-120</t>
  </si>
  <si>
    <t>Sn-122</t>
  </si>
  <si>
    <t>Sn-124</t>
  </si>
  <si>
    <t>Sb-121</t>
  </si>
  <si>
    <t>Sb-123</t>
  </si>
  <si>
    <t>Te-120</t>
  </si>
  <si>
    <t>Te-122</t>
  </si>
  <si>
    <t>Te-123</t>
  </si>
  <si>
    <t>Te-124</t>
  </si>
  <si>
    <t>Te-125</t>
  </si>
  <si>
    <t>Te-126</t>
  </si>
  <si>
    <t>Te-128</t>
  </si>
  <si>
    <t>Te-130</t>
  </si>
  <si>
    <t>I-127</t>
  </si>
  <si>
    <t>Xe-124</t>
  </si>
  <si>
    <t>Xe-126</t>
  </si>
  <si>
    <t>Xe-128</t>
  </si>
  <si>
    <t>Xe-129</t>
  </si>
  <si>
    <t>Xe-130</t>
  </si>
  <si>
    <t>Xe-131</t>
  </si>
  <si>
    <t>Xe-132</t>
  </si>
  <si>
    <t>Xe-134</t>
  </si>
  <si>
    <t>Xe-136</t>
  </si>
  <si>
    <t>Cs-133</t>
  </si>
  <si>
    <t>Ba-130</t>
  </si>
  <si>
    <t>Ba-132</t>
  </si>
  <si>
    <t>Ba-134</t>
  </si>
  <si>
    <t>Ba-135</t>
  </si>
  <si>
    <t>Ba-136</t>
  </si>
  <si>
    <t>Ba-137</t>
  </si>
  <si>
    <t>Ba-138</t>
  </si>
  <si>
    <t>La-138</t>
  </si>
  <si>
    <t>La-139</t>
  </si>
  <si>
    <t>Ce-136</t>
  </si>
  <si>
    <t>Ce-138</t>
  </si>
  <si>
    <t>Ce-140</t>
  </si>
  <si>
    <t>Ce-142</t>
  </si>
  <si>
    <t>Pr-141</t>
  </si>
  <si>
    <t>Nd-142</t>
  </si>
  <si>
    <t>Nd-143</t>
  </si>
  <si>
    <t>Nd-144</t>
  </si>
  <si>
    <t>Nd-145</t>
  </si>
  <si>
    <t>Nd-146</t>
  </si>
  <si>
    <t>Nd-148</t>
  </si>
  <si>
    <t>Nd-150</t>
  </si>
  <si>
    <t>Sm-144</t>
  </si>
  <si>
    <t>Sm-147</t>
  </si>
  <si>
    <t>Sm-148</t>
  </si>
  <si>
    <t>Sm-149</t>
  </si>
  <si>
    <t>Sm-150</t>
  </si>
  <si>
    <t>Sm-152</t>
  </si>
  <si>
    <t>Sm-154</t>
  </si>
  <si>
    <t>Eu-151</t>
  </si>
  <si>
    <t>Eu-153</t>
  </si>
  <si>
    <t>Gd-152</t>
  </si>
  <si>
    <t>Gd-154</t>
  </si>
  <si>
    <t>Gd-155</t>
  </si>
  <si>
    <t>Gd-156</t>
  </si>
  <si>
    <t>Gd-157</t>
  </si>
  <si>
    <t>Gd-158</t>
  </si>
  <si>
    <t>Gd-160</t>
  </si>
  <si>
    <t>Tb-159</t>
  </si>
  <si>
    <t>Dy-156</t>
  </si>
  <si>
    <t>Dy-158</t>
  </si>
  <si>
    <t>Dy-160</t>
  </si>
  <si>
    <t>Dy-161</t>
  </si>
  <si>
    <t>Dy-162</t>
  </si>
  <si>
    <t>Dy-163</t>
  </si>
  <si>
    <t>Dy-164</t>
  </si>
  <si>
    <t>Ho-165</t>
  </si>
  <si>
    <t>Er-162</t>
  </si>
  <si>
    <t>Er-164</t>
  </si>
  <si>
    <t>Er-166</t>
  </si>
  <si>
    <t>Er-167</t>
  </si>
  <si>
    <t>Er-168</t>
  </si>
  <si>
    <t>Er-170</t>
  </si>
  <si>
    <t>Tm-169</t>
  </si>
  <si>
    <t>Yb-168</t>
  </si>
  <si>
    <t>Yb-170</t>
  </si>
  <si>
    <t>Yb-171</t>
  </si>
  <si>
    <t>Yb-172</t>
  </si>
  <si>
    <t>Yb-173</t>
  </si>
  <si>
    <t>Yb-174</t>
  </si>
  <si>
    <t>Yb-176</t>
  </si>
  <si>
    <t>Lu-175</t>
  </si>
  <si>
    <t>Lu-176</t>
  </si>
  <si>
    <t>Hf-174</t>
  </si>
  <si>
    <t>Hf-176</t>
  </si>
  <si>
    <t>Hf-177</t>
  </si>
  <si>
    <t>Hf-178</t>
  </si>
  <si>
    <t>Hf-179</t>
  </si>
  <si>
    <t>Hf-180</t>
  </si>
  <si>
    <t>Ta-180</t>
  </si>
  <si>
    <t>Ta-181</t>
  </si>
  <si>
    <t>W-180</t>
  </si>
  <si>
    <t>W-182</t>
  </si>
  <si>
    <t>W-183</t>
  </si>
  <si>
    <t>W-184</t>
  </si>
  <si>
    <t>W-186</t>
  </si>
  <si>
    <t>Re-185</t>
  </si>
  <si>
    <t>Re-187</t>
  </si>
  <si>
    <t>Os-184</t>
  </si>
  <si>
    <t>Os-186</t>
  </si>
  <si>
    <t>Os-187</t>
  </si>
  <si>
    <t>Os-188</t>
  </si>
  <si>
    <t>Os-189</t>
  </si>
  <si>
    <t>Os-190</t>
  </si>
  <si>
    <t>Os-192</t>
  </si>
  <si>
    <t>Ir-191</t>
  </si>
  <si>
    <t>Ir-193</t>
  </si>
  <si>
    <t>Pt-190</t>
  </si>
  <si>
    <t>Pt-192</t>
  </si>
  <si>
    <t>Pt-194</t>
  </si>
  <si>
    <t>Pt-195</t>
  </si>
  <si>
    <t>Pt-196</t>
  </si>
  <si>
    <t>Pt-198</t>
  </si>
  <si>
    <t>Au-197</t>
  </si>
  <si>
    <t>Hg-196</t>
  </si>
  <si>
    <t>Hg-198</t>
  </si>
  <si>
    <t>Hg-199</t>
  </si>
  <si>
    <t>Hg-200</t>
  </si>
  <si>
    <t>Hg-201</t>
  </si>
  <si>
    <t>Hg-202</t>
  </si>
  <si>
    <t>Hg-204</t>
  </si>
  <si>
    <t>Tl-203</t>
  </si>
  <si>
    <t>Tl-205</t>
  </si>
  <si>
    <t>Pb-204</t>
  </si>
  <si>
    <t>Pb-206</t>
  </si>
  <si>
    <t>Pb-207</t>
  </si>
  <si>
    <t>Pb-208</t>
  </si>
  <si>
    <t>Bi-209</t>
  </si>
  <si>
    <t>Th-232</t>
  </si>
  <si>
    <t>U-234</t>
  </si>
  <si>
    <t>U-235</t>
  </si>
  <si>
    <t>U-238</t>
  </si>
  <si>
    <t>Element</t>
  </si>
  <si>
    <t>Isotope Symbol</t>
  </si>
  <si>
    <t>Atomic Mass</t>
  </si>
  <si>
    <t>Abundance (%)</t>
  </si>
  <si>
    <t>Price per kg (USD)</t>
  </si>
  <si>
    <t>Price Source(s)</t>
  </si>
  <si>
    <t>Industrial H2 gas pricing (Nov 2025)</t>
  </si>
  <si>
    <t>Deuterium enriched - Cambridge Labs (Nov 2025)</t>
  </si>
  <si>
    <t>Lunar mining estimate (Nov 2025)</t>
  </si>
  <si>
    <t>Industrial He gas pricing (Nov 2025)</t>
  </si>
  <si>
    <t>Nuclear enriched material (Nov 2025)</t>
  </si>
  <si>
    <t>Lithium carbonate 99% (Nov 2025)</t>
  </si>
  <si>
    <t>Industrial Be metal (Nov 2025)</t>
  </si>
  <si>
    <t>Enriched B-10 specialist pricing</t>
  </si>
  <si>
    <t>Industrial boric acid (Nov 2025)</t>
  </si>
  <si>
    <t>Industrial graphite (Nov 2025)</t>
  </si>
  <si>
    <t>C-13 enriched specialist</t>
  </si>
  <si>
    <t>Industrial N2 gas (Nov 2025)</t>
  </si>
  <si>
    <t>N-15 enriched supplier</t>
  </si>
  <si>
    <t>Industrial O2 gas (Nov 2025)</t>
  </si>
  <si>
    <t>O-17 enriched specialized</t>
  </si>
  <si>
    <t>O-18 medical isotope premium</t>
  </si>
  <si>
    <t>Industrial F2 gas (Nov 2025)</t>
  </si>
  <si>
    <t>Industrial Ne gas (Nov 2025)</t>
  </si>
  <si>
    <t>Ne-21 specialized supplier</t>
  </si>
  <si>
    <t>Ne-22 enriched market</t>
  </si>
  <si>
    <t>Industrial Na metal (Nov 2025)</t>
  </si>
  <si>
    <t>Industrial Mg metal (Nov 2025)</t>
  </si>
  <si>
    <t>Mg-25 enriched supplier</t>
  </si>
  <si>
    <t>Mg-26 enriched premium</t>
  </si>
  <si>
    <t>LME Aluminum USD 2,826/t (Nov 28, 2025)</t>
  </si>
  <si>
    <t>Industrial Si metal (Nov 2025)</t>
  </si>
  <si>
    <t>Si-29 enriched specialist</t>
  </si>
  <si>
    <t>Si-30 enriched premium</t>
  </si>
  <si>
    <t>Industrial P compounds (Nov 2025)</t>
  </si>
  <si>
    <t>Industrial S (Nov 2025)</t>
  </si>
  <si>
    <t>S-33 enriched supplier</t>
  </si>
  <si>
    <t>S-34 enriched premium</t>
  </si>
  <si>
    <t>S-36 trace enriched</t>
  </si>
  <si>
    <t>Industrial Cl2 gas (Nov 2025)</t>
  </si>
  <si>
    <t>Industrial Ar gas trace</t>
  </si>
  <si>
    <t>Ar-38 specialized pricing</t>
  </si>
  <si>
    <t>Industrial Ar gas (Nov 2025)</t>
  </si>
  <si>
    <t>Industrial K compounds (Nov 2025)</t>
  </si>
  <si>
    <t>Industrial Ca compounds (Nov 2025)</t>
  </si>
  <si>
    <t>Ca-42 enriched specialist</t>
  </si>
  <si>
    <t>Ca-43 enriched premium</t>
  </si>
  <si>
    <t>Ca-44 enriched market</t>
  </si>
  <si>
    <t>Ca-46 trace enriched</t>
  </si>
  <si>
    <t>Shanghai Market 5N Sc (Nov 28, 2025)</t>
  </si>
  <si>
    <t>Industrial Ti metal (Nov 2025)</t>
  </si>
  <si>
    <t>Industrial V metal (Nov 2025)</t>
  </si>
  <si>
    <t>Industrial Cr metal (Nov 2025)</t>
  </si>
  <si>
    <t>Industrial Mn metal (Nov 2025)</t>
  </si>
  <si>
    <t>LME Iron ore (Nov 2025)</t>
  </si>
  <si>
    <t>Industrial Co metal (Nov 2025)</t>
  </si>
  <si>
    <t>LME Nickel USD 14,890/t (Nov 28)</t>
  </si>
  <si>
    <t>LME Copper USD 11,004/t (Nov 28)</t>
  </si>
  <si>
    <t>LME Zinc USD 3,255/t (Nov 28)</t>
  </si>
  <si>
    <t>Shanghai Market (Nov 28)</t>
  </si>
  <si>
    <t>Industrial As (Nov 2025)</t>
  </si>
  <si>
    <t>Industrial Se metal (Nov 2025)</t>
  </si>
  <si>
    <t>Industrial Br (Nov 2025)</t>
  </si>
  <si>
    <t>Industrial Kr gas (Nov 2025)</t>
  </si>
  <si>
    <t>Industrial Rb compounds (Nov 2025)</t>
  </si>
  <si>
    <t>Industrial Sr compounds (Nov 2025)</t>
  </si>
  <si>
    <t>Shanghai Market USD/kg (Nov 28)</t>
  </si>
  <si>
    <t>Industrial Zr metal (Nov 2025)</t>
  </si>
  <si>
    <t>Industrial Nb metal (Nov 2025)</t>
  </si>
  <si>
    <t>China Tungsten Industry (Nov 2025)</t>
  </si>
  <si>
    <t>Precious metals (Nov 2025)</t>
  </si>
  <si>
    <t>Rhodium USD/oz 7,925 (Nov 26)</t>
  </si>
  <si>
    <t>Trading Econ. Pd (Nov 28)</t>
  </si>
  <si>
    <t>Trading Econ. Ag USD/oz 52 (Nov 28)</t>
  </si>
  <si>
    <t>Industrial Cd metal (Nov 2025)</t>
  </si>
  <si>
    <t>LME Tin USD 39,125/t (Nov 28)</t>
  </si>
  <si>
    <t>Industrial Sb metal (Nov 2025)</t>
  </si>
  <si>
    <t>Industrial Te (Nov 2025)</t>
  </si>
  <si>
    <t>Industrial I (Nov 2025)</t>
  </si>
  <si>
    <t>Industrial Xe gas (Nov 2025)</t>
  </si>
  <si>
    <t>Shanghai Metal Market (Nov 2025)</t>
  </si>
  <si>
    <t>Industrial Ba compounds (Nov 2025)</t>
  </si>
  <si>
    <t>Shanghai Market La USD/mt 2,679 (Nov 28)</t>
  </si>
  <si>
    <t>Shanghai Market Ce USD/mt 3,614 (Nov 28)</t>
  </si>
  <si>
    <t>Shanghai Market Pr USD/mt 95,021 (Nov 28)</t>
  </si>
  <si>
    <t>Shanghai Market Nd USD/mt 87,855 (Nov 28)</t>
  </si>
  <si>
    <t>Shanghai Market Sm USD/mt 9,097 (Nov 28)</t>
  </si>
  <si>
    <t>Shanghai Market Eu USD/kg (Nov 28)</t>
  </si>
  <si>
    <t>Shanghai Market Gd USD/kg (Nov 28)</t>
  </si>
  <si>
    <t>Shanghai Market Tb USD/kg 1,006 (Nov 28)</t>
  </si>
  <si>
    <t>Shanghai Market Dy USD/kg 236 (Nov 28)</t>
  </si>
  <si>
    <t>Shanghai Market Ho Ferroalloy USD/mt (Nov 28)</t>
  </si>
  <si>
    <t>Shanghai Market Er USD/kg (Nov 28)</t>
  </si>
  <si>
    <t>Rare earth market (Nov 2025)</t>
  </si>
  <si>
    <t>Shanghai Market Yb USD/kg (Nov 28)</t>
  </si>
  <si>
    <t>Shanghai Market Lu USD/kg (Nov 28)</t>
  </si>
  <si>
    <t>Lu-176 enriched specialist (Nov 2025)</t>
  </si>
  <si>
    <t>Industrial Hf metal (Nov 2025)</t>
  </si>
  <si>
    <t>Industrial Ta metal (Nov 2025)</t>
  </si>
  <si>
    <t>Industrial Re metal (Nov 2025)</t>
  </si>
  <si>
    <t>Trading Econ. Pt USD/oz 1,675 (Nov 28)</t>
  </si>
  <si>
    <t>Trading Econ. &amp; Westmetall Gold USD/oz 4,159.40 (Nov 28)</t>
  </si>
  <si>
    <t>Industrial Hg (Nov 2025)</t>
  </si>
  <si>
    <t>Industrial Tl compounds (Nov 2025)</t>
  </si>
  <si>
    <t>LME Lead USD 1,955/t (Nov 28)</t>
  </si>
  <si>
    <t>Industrial Bi metal (Nov 2025)</t>
  </si>
  <si>
    <t>Nuclear materials market (Nov 2025)</t>
  </si>
  <si>
    <t>Trading Econ. U USD/lb (Nov 28)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</si>
</sst>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00000000000000"/>
    <numFmt numFmtId="165" formatCode="0.0000000000E+00"/>
    <numFmt numFmtId="166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EAC431"/>
          <bgColor rgb="FFEAC431"/>
        </patternFill>
      </fill>
      <border/>
    </dxf>
  </dxfs>
  <tableStyles count="6">
    <tableStyle count="4" pivot="0" name="Denomination Valu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lity Constant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5" pivot="0" name="Atomic Values-style">
      <tableStyleElement dxfId="6" type="headerRow"/>
      <tableStyleElement dxfId="2" type="firstRowStripe"/>
      <tableStyleElement dxfId="3" type="secondRowStripe"/>
      <tableStyleElement dxfId="7" type="totalRow"/>
      <tableStyleElement dxfId="4" size="0" type="wholeTable"/>
    </tableStyle>
    <tableStyle count="4" pivot="0" name="Price Matrix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5" pivot="0" name="Copy of Atomic Values-style">
      <tableStyleElement dxfId="6" type="headerRow"/>
      <tableStyleElement dxfId="2" type="firstRowStripe"/>
      <tableStyleElement dxfId="3" type="secondRowStripe"/>
      <tableStyleElement dxfId="7" type="totalRow"/>
      <tableStyleElement dxfId="4" size="0" type="wholeTable"/>
    </tableStyle>
    <tableStyle count="4" pivot="0" name="all_stable_isotopes_complete_no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8" displayName="Denomination_Values" name="Denomination_Values" id="1">
  <tableColumns count="3">
    <tableColumn name="Denomination" id="1"/>
    <tableColumn name="Number of Atomos" id="2"/>
    <tableColumn name="Value in USD" id="3"/>
  </tableColumns>
  <tableStyleInfo name="Denomination Values-style" showColumnStripes="0" showFirstColumn="1" showLastColumn="1" showRowStripes="1"/>
</table>
</file>

<file path=xl/tables/table2.xml><?xml version="1.0" encoding="utf-8"?>
<table xmlns="http://schemas.openxmlformats.org/spreadsheetml/2006/main" ref="A1:B15" displayName="Reality_Constants" name="Reality_Constants" id="2">
  <tableColumns count="2">
    <tableColumn name="Constant Name" id="1"/>
    <tableColumn name="Constant Value" id="2"/>
  </tableColumns>
  <tableStyleInfo name="Reality Constants-style" showColumnStripes="0" showFirstColumn="1" showLastColumn="1" showRowStripes="1"/>
</table>
</file>

<file path=xl/tables/table3.xml><?xml version="1.0" encoding="utf-8"?>
<table xmlns="http://schemas.openxmlformats.org/spreadsheetml/2006/main" totalsRowCount="1" ref="A1:K289" displayName="Atomic_Values" name="Atomic_Values" id="3">
  <tableColumns count="11">
    <tableColumn name="Name" id="1"/>
    <tableColumn name="Symbol" id="2"/>
    <tableColumn name="Mass" id="3"/>
    <tableColumn totalsRowFunction="custom" name="Abundance" id="4"/>
    <tableColumn totalsRowFunction="custom" name="Atomic Mass in kg" id="5"/>
    <tableColumn totalsRowFunction="custom" name="Atomic Energy (J)" id="6"/>
    <tableColumn totalsRowFunction="custom" name="Atomic Energy (eV)" id="7"/>
    <tableColumn totalsRowFunction="custom" name="Atomic Energy (kWh)" id="8"/>
    <tableColumn totalsRowFunction="custom" name="Price per KG" id="9"/>
    <tableColumn totalsRowFunction="custom" name="Atomic Price (USD)" id="10"/>
    <tableColumn totalsRowFunction="custom" name="E mc2 price (USD)" id="11"/>
  </tableColumns>
  <tableStyleInfo name="Atomic Values-style" showColumnStripes="0" showFirstColumn="1" showLastColumn="1" showRowStripes="1"/>
</table>
</file>

<file path=xl/tables/table4.xml><?xml version="1.0" encoding="utf-8"?>
<table xmlns="http://schemas.openxmlformats.org/spreadsheetml/2006/main" ref="A1:F262" displayName="Price_Matrix" name="Price_Matrix" id="4">
  <tableColumns count="6">
    <tableColumn name="Name" id="1"/>
    <tableColumn name="Symbol" id="2"/>
    <tableColumn name="Mass" id="3"/>
    <tableColumn name="Abund." id="4"/>
    <tableColumn name="Price per kg" id="5"/>
    <tableColumn name="Source / Details" id="6"/>
  </tableColumns>
  <tableStyleInfo name="Price Matrix-style" showColumnStripes="0" showFirstColumn="1" showLastColumn="1" showRowStripes="1"/>
</table>
</file>

<file path=xl/tables/table5.xml><?xml version="1.0" encoding="utf-8"?>
<table xmlns="http://schemas.openxmlformats.org/spreadsheetml/2006/main" totalsRowCount="1" ref="A1:K287" displayName="Atomic_Values_2" name="Atomic_Values_2" id="5">
  <tableColumns count="11">
    <tableColumn name="Name" id="1"/>
    <tableColumn name="Symbol" id="2"/>
    <tableColumn name="Mass" id="3"/>
    <tableColumn totalsRowFunction="custom" name="Abundance" id="4"/>
    <tableColumn totalsRowFunction="custom" name="Atomic Mass in kg" id="5"/>
    <tableColumn totalsRowFunction="custom" name="Atomic Energy (J)" id="6"/>
    <tableColumn totalsRowFunction="custom" name="Atomic Energy (eV)" id="7"/>
    <tableColumn totalsRowFunction="custom" name="Atomic Energy (kWh)" id="8"/>
    <tableColumn totalsRowFunction="custom" name="Price per KG" id="9"/>
    <tableColumn totalsRowFunction="custom" name="Atomic Price (USD)" id="10"/>
    <tableColumn totalsRowFunction="custom" name="Atomic Price Weighted (USD)" id="11"/>
  </tableColumns>
  <tableStyleInfo name="Copy of Atomic Values-style" showColumnStripes="0" showFirstColumn="1" showLastColumn="1" showRowStripes="1"/>
</table>
</file>

<file path=xl/tables/table6.xml><?xml version="1.0" encoding="utf-8"?>
<table xmlns="http://schemas.openxmlformats.org/spreadsheetml/2006/main" ref="A1:F286" displayName="Table1" name="Table1" id="6">
  <tableColumns count="6">
    <tableColumn name="Element" id="1"/>
    <tableColumn name="Isotope Symbol" id="2"/>
    <tableColumn name="Atomic Mass" id="3"/>
    <tableColumn name="Abundance (%)" id="4"/>
    <tableColumn name="Price per kg (USD)" id="5"/>
    <tableColumn name="Price Source(s)" id="6"/>
  </tableColumns>
  <tableStyleInfo name="all_stable_isotopes_complete_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70.0"/>
    <col customWidth="1" min="3" max="3" width="69.3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>
        <v>100.0</v>
      </c>
      <c r="C2" s="4">
        <f>B2 * 'Atomic Values'!$K$2</f>
        <v>0</v>
      </c>
    </row>
    <row r="3" ht="22.5" customHeight="1">
      <c r="A3" s="2" t="s">
        <v>4</v>
      </c>
      <c r="B3" s="3">
        <v>10000.0</v>
      </c>
      <c r="C3" s="4">
        <f>B3 * 'Atomic Values'!$K$2</f>
        <v>0</v>
      </c>
    </row>
    <row r="4" ht="22.5" customHeight="1">
      <c r="A4" s="2" t="s">
        <v>5</v>
      </c>
      <c r="B4" s="3">
        <v>1.0E8</v>
      </c>
      <c r="C4" s="4">
        <f>B4 * 'Atomic Values'!$K$2</f>
        <v>0.0000000006893774521</v>
      </c>
    </row>
    <row r="5" ht="22.5" customHeight="1">
      <c r="A5" s="2" t="s">
        <v>6</v>
      </c>
      <c r="B5" s="3">
        <v>1.0E16</v>
      </c>
      <c r="C5" s="4">
        <f>B5 * 'Atomic Values'!$K$2</f>
        <v>0.06893774521</v>
      </c>
    </row>
    <row r="6" ht="22.5" customHeight="1">
      <c r="A6" s="2" t="s">
        <v>7</v>
      </c>
      <c r="B6" s="3">
        <v>1.0E32</v>
      </c>
      <c r="C6" s="4">
        <f>B6 * 'Atomic Values'!$K$2</f>
        <v>689377452143789</v>
      </c>
    </row>
    <row r="7" ht="22.5" customHeight="1">
      <c r="A7" s="2" t="s">
        <v>8</v>
      </c>
      <c r="B7" s="3">
        <v>1.0000000000000002E64</v>
      </c>
      <c r="C7" s="4">
        <f>B7 * 'Atomic Values'!$K$2</f>
        <v>6.89377E+46</v>
      </c>
    </row>
    <row r="8" ht="22.5" customHeight="1">
      <c r="A8" s="2" t="s">
        <v>9</v>
      </c>
      <c r="B8" s="5">
        <v>1.0E27</v>
      </c>
      <c r="C8" s="4">
        <f>B8 * 'Atomic Values'!$K$2</f>
        <v>6893774521</v>
      </c>
    </row>
  </sheetData>
  <dataValidations>
    <dataValidation type="custom" allowBlank="1" showDropDown="1" sqref="C2:C8">
      <formula1>AND(ISNUMBER(C2),(NOT(OR(NOT(ISERROR(DATEVALUE(C2))), AND(ISNUMBER(C2), LEFT(CELL("format", C2))="D")))))</formula1>
    </dataValidation>
    <dataValidation allowBlank="1" showDropDown="1" sqref="A2:A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5"/>
  </cols>
  <sheetData>
    <row r="1" ht="22.5" customHeight="1">
      <c r="A1" s="1" t="s">
        <v>10</v>
      </c>
      <c r="B1" s="1" t="s">
        <v>11</v>
      </c>
    </row>
    <row r="2" ht="22.5" customHeight="1">
      <c r="A2" s="6" t="s">
        <v>12</v>
      </c>
      <c r="B2" s="7">
        <v>1.66053906892E-27</v>
      </c>
    </row>
    <row r="3" ht="22.5" customHeight="1">
      <c r="A3" s="6" t="s">
        <v>13</v>
      </c>
      <c r="B3" s="7">
        <v>2.99792458E8</v>
      </c>
    </row>
    <row r="4" ht="22.5" customHeight="1">
      <c r="A4" s="6" t="s">
        <v>14</v>
      </c>
      <c r="B4" s="7">
        <v>1.602176634E-19</v>
      </c>
    </row>
    <row r="5" ht="22.5" customHeight="1">
      <c r="A5" s="6" t="s">
        <v>15</v>
      </c>
      <c r="B5" s="7">
        <v>3600000.0</v>
      </c>
    </row>
    <row r="6" ht="22.5" customHeight="1">
      <c r="A6" s="6" t="s">
        <v>16</v>
      </c>
      <c r="B6" s="7">
        <v>6.02214076E23</v>
      </c>
    </row>
    <row r="7" ht="22.5" customHeight="1">
      <c r="A7" s="2" t="s">
        <v>17</v>
      </c>
      <c r="B7" s="7">
        <v>0.165</v>
      </c>
    </row>
    <row r="8" ht="22.5" customHeight="1">
      <c r="A8" s="2" t="s">
        <v>18</v>
      </c>
      <c r="B8" s="8">
        <f>B7/B5</f>
        <v>0.00000004583333333</v>
      </c>
    </row>
    <row r="9" ht="22.5" customHeight="1">
      <c r="A9" s="9"/>
      <c r="B9" s="8"/>
    </row>
    <row r="10" ht="22.5" customHeight="1">
      <c r="A10" s="9"/>
      <c r="B10" s="8"/>
    </row>
    <row r="11" ht="22.5" customHeight="1">
      <c r="A11" s="9"/>
      <c r="B11" s="8"/>
    </row>
    <row r="12" ht="22.5" customHeight="1">
      <c r="A12" s="9"/>
      <c r="B12" s="8"/>
    </row>
    <row r="13" ht="22.5" customHeight="1">
      <c r="A13" s="9"/>
      <c r="B13" s="8"/>
    </row>
    <row r="14" ht="22.5" customHeight="1">
      <c r="A14" s="9"/>
      <c r="B14" s="8"/>
    </row>
    <row r="15" ht="22.5" customHeight="1">
      <c r="A15" s="9"/>
      <c r="B15" s="8"/>
    </row>
  </sheetData>
  <dataValidations>
    <dataValidation allowBlank="1" showDropDown="1" sqref="A2:A1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4.25"/>
    <col customWidth="1" min="3" max="3" width="12.88"/>
    <col customWidth="1" min="4" max="4" width="17.13"/>
    <col customWidth="1" min="5" max="6" width="22.63"/>
    <col customWidth="1" min="7" max="7" width="19.75"/>
    <col customWidth="1" min="8" max="8" width="21.0"/>
    <col customWidth="1" min="9" max="9" width="22.25"/>
    <col customWidth="1" min="10" max="10" width="19.75"/>
    <col customWidth="1" min="11" max="11" width="27.13"/>
  </cols>
  <sheetData>
    <row r="1" ht="22.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0" t="s">
        <v>25</v>
      </c>
      <c r="H1" s="10" t="s">
        <v>26</v>
      </c>
      <c r="I1" s="10" t="s">
        <v>27</v>
      </c>
      <c r="J1" s="10" t="s">
        <v>28</v>
      </c>
      <c r="K1" s="10" t="s">
        <v>29</v>
      </c>
    </row>
    <row r="2" ht="22.5" customHeight="1">
      <c r="A2" s="6" t="s">
        <v>30</v>
      </c>
      <c r="B2" s="6" t="s">
        <v>31</v>
      </c>
      <c r="C2" s="11">
        <v>1.007825</v>
      </c>
      <c r="D2" s="11">
        <v>99.99</v>
      </c>
      <c r="E2" s="12">
        <f>C2*'Reality Constants'!$B$2</f>
        <v>0</v>
      </c>
      <c r="F2" s="12">
        <f>E2 * ('Reality Constants'!$B$3 * 2)</f>
        <v>0</v>
      </c>
      <c r="G2" s="12">
        <f>F2 / 'Reality Constants'!$B$4</f>
        <v>6.26288634</v>
      </c>
      <c r="H2" s="12">
        <f>F2 / 'Reality Constants'!$B$5</f>
        <v>0</v>
      </c>
      <c r="I2" s="13">
        <f t="array" ref="I2">IFERROR(INDEX('Price Matrix'!A:E, MATCH(B2, 'Price Matrix'!B:B, 0), 5),"")</f>
        <v>1.39</v>
      </c>
      <c r="J2" s="12">
        <f t="shared" ref="J2:J288" si="1">IF(I2 = 0, "", I2 * E2)</f>
        <v>0</v>
      </c>
      <c r="K2" s="12">
        <f>E2*('Reality Constants'!$B$3 * 'Reality Constants'!$B$3)*'Reality Constants'!$B$8</f>
        <v>0</v>
      </c>
    </row>
    <row r="3" ht="22.5" customHeight="1">
      <c r="A3" s="6" t="s">
        <v>30</v>
      </c>
      <c r="B3" s="6" t="s">
        <v>32</v>
      </c>
      <c r="C3" s="11">
        <v>2.014102</v>
      </c>
      <c r="D3" s="11">
        <v>0.015</v>
      </c>
      <c r="E3" s="12">
        <f>C3*'Reality Constants'!$B$2</f>
        <v>0</v>
      </c>
      <c r="F3" s="12">
        <f>E3 * ('Reality Constants'!$B$3 * 2)</f>
        <v>0</v>
      </c>
      <c r="G3" s="12">
        <f>F3 / 'Reality Constants'!$B$4</f>
        <v>12.51615301</v>
      </c>
      <c r="H3" s="12">
        <f>F3 / 'Reality Constants'!$B$5</f>
        <v>0</v>
      </c>
      <c r="I3" s="13">
        <f t="array" ref="I3">IFERROR(INDEX('Price Matrix'!A:E, MATCH(B3, 'Price Matrix'!B:B, 0), 5),"")</f>
        <v>13400</v>
      </c>
      <c r="J3" s="12">
        <f t="shared" si="1"/>
        <v>0</v>
      </c>
      <c r="K3" s="12">
        <f>E3*('Reality Constants'!$B$3 * 'Reality Constants'!$B$3)*'Reality Constants'!$B$8</f>
        <v>0</v>
      </c>
    </row>
    <row r="4" ht="22.5" customHeight="1">
      <c r="A4" s="6" t="s">
        <v>33</v>
      </c>
      <c r="B4" s="6" t="s">
        <v>34</v>
      </c>
      <c r="C4" s="11">
        <v>3.016029</v>
      </c>
      <c r="D4" s="11">
        <v>1.0E-4</v>
      </c>
      <c r="E4" s="12">
        <f>C4*'Reality Constants'!$B$2</f>
        <v>0</v>
      </c>
      <c r="F4" s="12">
        <f>E4 * ('Reality Constants'!$B$3 * 2)</f>
        <v>0</v>
      </c>
      <c r="G4" s="12">
        <f>F4 / 'Reality Constants'!$B$4</f>
        <v>18.74238764</v>
      </c>
      <c r="H4" s="12">
        <f>F4 / 'Reality Constants'!$B$5</f>
        <v>0</v>
      </c>
      <c r="I4" s="13">
        <f t="array" ref="I4">IFERROR(INDEX('Price Matrix'!A:E, MATCH(B4, 'Price Matrix'!B:B, 0), 5),"")</f>
        <v>20000000</v>
      </c>
      <c r="J4" s="12">
        <f t="shared" si="1"/>
        <v>0</v>
      </c>
      <c r="K4" s="12">
        <f>E4*('Reality Constants'!$B$3 * 'Reality Constants'!$B$3)*'Reality Constants'!$B$8</f>
        <v>0</v>
      </c>
    </row>
    <row r="5" ht="22.5" customHeight="1">
      <c r="A5" s="6" t="s">
        <v>33</v>
      </c>
      <c r="B5" s="6" t="s">
        <v>35</v>
      </c>
      <c r="C5" s="11">
        <v>4.002603</v>
      </c>
      <c r="D5" s="11">
        <v>100.0</v>
      </c>
      <c r="E5" s="12">
        <f>C5*'Reality Constants'!$B$2</f>
        <v>0</v>
      </c>
      <c r="F5" s="12">
        <f>E5 * ('Reality Constants'!$B$3 * 2)</f>
        <v>0</v>
      </c>
      <c r="G5" s="12">
        <f>F5 / 'Reality Constants'!$B$4</f>
        <v>24.87321475</v>
      </c>
      <c r="H5" s="12">
        <f>F5 / 'Reality Constants'!$B$5</f>
        <v>0</v>
      </c>
      <c r="I5" s="13">
        <f t="array" ref="I5">IFERROR(INDEX('Price Matrix'!A:E, MATCH(B5, 'Price Matrix'!B:B, 0), 5),"")</f>
        <v>40.39</v>
      </c>
      <c r="J5" s="12">
        <f t="shared" si="1"/>
        <v>0</v>
      </c>
      <c r="K5" s="12">
        <f>E5*('Reality Constants'!$B$3 * 'Reality Constants'!$B$3)*'Reality Constants'!$B$8</f>
        <v>0</v>
      </c>
    </row>
    <row r="6" ht="22.5" customHeight="1">
      <c r="A6" s="6" t="s">
        <v>36</v>
      </c>
      <c r="B6" s="6" t="s">
        <v>37</v>
      </c>
      <c r="C6" s="11">
        <v>6.015123</v>
      </c>
      <c r="D6" s="11">
        <v>7.42</v>
      </c>
      <c r="E6" s="12">
        <f>C6*'Reality Constants'!$B$2</f>
        <v>0</v>
      </c>
      <c r="F6" s="12">
        <f>E6 * ('Reality Constants'!$B$3 * 2)</f>
        <v>0</v>
      </c>
      <c r="G6" s="12">
        <f>F6 / 'Reality Constants'!$B$4</f>
        <v>37.3795368</v>
      </c>
      <c r="H6" s="12">
        <f>F6 / 'Reality Constants'!$B$5</f>
        <v>0</v>
      </c>
      <c r="I6" s="13">
        <f t="array" ref="I6">IFERROR(INDEX('Price Matrix'!A:E, MATCH(B6, 'Price Matrix'!B:B, 0), 5),"")</f>
        <v>85000</v>
      </c>
      <c r="J6" s="12">
        <f t="shared" si="1"/>
        <v>0</v>
      </c>
      <c r="K6" s="12">
        <f>E6*('Reality Constants'!$B$3 * 'Reality Constants'!$B$3)*'Reality Constants'!$B$8</f>
        <v>0</v>
      </c>
    </row>
    <row r="7" ht="22.5" customHeight="1">
      <c r="A7" s="6" t="s">
        <v>36</v>
      </c>
      <c r="B7" s="6" t="s">
        <v>38</v>
      </c>
      <c r="C7" s="11">
        <v>7.016005</v>
      </c>
      <c r="D7" s="11">
        <v>92.58</v>
      </c>
      <c r="E7" s="12">
        <f>C7*'Reality Constants'!$B$2</f>
        <v>0</v>
      </c>
      <c r="F7" s="12">
        <f>E7 * ('Reality Constants'!$B$3 * 2)</f>
        <v>0</v>
      </c>
      <c r="G7" s="12">
        <f>F7 / 'Reality Constants'!$B$4</f>
        <v>43.59927753</v>
      </c>
      <c r="H7" s="12">
        <f>F7 / 'Reality Constants'!$B$5</f>
        <v>0</v>
      </c>
      <c r="I7" s="13">
        <f t="array" ref="I7">IFERROR(INDEX('Price Matrix'!A:E, MATCH(B7, 'Price Matrix'!B:B, 0), 5),"")</f>
        <v>8.84</v>
      </c>
      <c r="J7" s="12">
        <f t="shared" si="1"/>
        <v>0</v>
      </c>
      <c r="K7" s="12">
        <f>E7*('Reality Constants'!$B$3 * 'Reality Constants'!$B$3)*'Reality Constants'!$B$8</f>
        <v>0</v>
      </c>
    </row>
    <row r="8" ht="22.5" customHeight="1">
      <c r="A8" s="6" t="s">
        <v>39</v>
      </c>
      <c r="B8" s="6" t="s">
        <v>40</v>
      </c>
      <c r="C8" s="11">
        <v>9.012183</v>
      </c>
      <c r="D8" s="11">
        <v>100.0</v>
      </c>
      <c r="E8" s="12">
        <f>C8*'Reality Constants'!$B$2</f>
        <v>0</v>
      </c>
      <c r="F8" s="12">
        <f>E8 * ('Reality Constants'!$B$3 * 2)</f>
        <v>0</v>
      </c>
      <c r="G8" s="12">
        <f>F8 / 'Reality Constants'!$B$4</f>
        <v>56.00404615</v>
      </c>
      <c r="H8" s="12">
        <f>F8 / 'Reality Constants'!$B$5</f>
        <v>0</v>
      </c>
      <c r="I8" s="13">
        <f t="array" ref="I8">IFERROR(INDEX('Price Matrix'!A:E, MATCH(B8, 'Price Matrix'!B:B, 0), 5),"")</f>
        <v>275</v>
      </c>
      <c r="J8" s="12">
        <f t="shared" si="1"/>
        <v>0</v>
      </c>
      <c r="K8" s="12">
        <f>E8*('Reality Constants'!$B$3 * 'Reality Constants'!$B$3)*'Reality Constants'!$B$8</f>
        <v>0</v>
      </c>
    </row>
    <row r="9" ht="22.5" customHeight="1">
      <c r="A9" s="6" t="s">
        <v>41</v>
      </c>
      <c r="B9" s="6" t="s">
        <v>42</v>
      </c>
      <c r="C9" s="11">
        <v>10.012938</v>
      </c>
      <c r="D9" s="11">
        <v>19.8</v>
      </c>
      <c r="E9" s="12">
        <f>C9*'Reality Constants'!$B$2</f>
        <v>0</v>
      </c>
      <c r="F9" s="12">
        <f>E9 * ('Reality Constants'!$B$3 * 2)</f>
        <v>0</v>
      </c>
      <c r="G9" s="12">
        <f>F9 / 'Reality Constants'!$B$4</f>
        <v>62.22299767</v>
      </c>
      <c r="H9" s="12">
        <f>F9 / 'Reality Constants'!$B$5</f>
        <v>0</v>
      </c>
      <c r="I9" s="13" t="str">
        <f t="array" ref="I9">IFERROR(INDEX('Price Matrix'!A:E, MATCH(B9, 'Price Matrix'!B:B, 0), 5),"")</f>
        <v/>
      </c>
      <c r="J9" s="12" t="str">
        <f t="shared" si="1"/>
        <v/>
      </c>
      <c r="K9" s="12">
        <f>E9*('Reality Constants'!$B$3 * 'Reality Constants'!$B$3)*'Reality Constants'!$B$8</f>
        <v>0</v>
      </c>
    </row>
    <row r="10" ht="22.5" customHeight="1">
      <c r="A10" s="6" t="s">
        <v>41</v>
      </c>
      <c r="B10" s="6" t="s">
        <v>43</v>
      </c>
      <c r="C10" s="11">
        <v>11.009305</v>
      </c>
      <c r="D10" s="11">
        <v>80.2</v>
      </c>
      <c r="E10" s="12">
        <f>C10*'Reality Constants'!$B$2</f>
        <v>0</v>
      </c>
      <c r="F10" s="12">
        <f>E10 * ('Reality Constants'!$B$3 * 2)</f>
        <v>0</v>
      </c>
      <c r="G10" s="12">
        <f>F10 / 'Reality Constants'!$B$4</f>
        <v>68.41468102</v>
      </c>
      <c r="H10" s="12">
        <f>F10 / 'Reality Constants'!$B$5</f>
        <v>0</v>
      </c>
      <c r="I10" s="13">
        <f t="array" ref="I10">IFERROR(INDEX('Price Matrix'!A:E, MATCH(B10, 'Price Matrix'!B:B, 0), 5),"")</f>
        <v>8.5</v>
      </c>
      <c r="J10" s="12">
        <f t="shared" si="1"/>
        <v>0</v>
      </c>
      <c r="K10" s="12">
        <f>E10*('Reality Constants'!$B$3 * 'Reality Constants'!$B$3)*'Reality Constants'!$B$8</f>
        <v>0</v>
      </c>
    </row>
    <row r="11" ht="22.5" customHeight="1">
      <c r="A11" s="6" t="s">
        <v>44</v>
      </c>
      <c r="B11" s="6" t="s">
        <v>45</v>
      </c>
      <c r="C11" s="11">
        <v>12.0</v>
      </c>
      <c r="D11" s="11">
        <v>98.9</v>
      </c>
      <c r="E11" s="12">
        <f>C11*'Reality Constants'!$B$2</f>
        <v>0</v>
      </c>
      <c r="F11" s="12">
        <f>E11 * ('Reality Constants'!$B$3 * 2)</f>
        <v>0</v>
      </c>
      <c r="G11" s="12">
        <f>F11 / 'Reality Constants'!$B$4</f>
        <v>74.57111709</v>
      </c>
      <c r="H11" s="12">
        <f>F11 / 'Reality Constants'!$B$5</f>
        <v>0</v>
      </c>
      <c r="I11" s="13">
        <f t="array" ref="I11">IFERROR(INDEX('Price Matrix'!A:E, MATCH(B11, 'Price Matrix'!B:B, 0), 5),"")</f>
        <v>0.53</v>
      </c>
      <c r="J11" s="12">
        <f t="shared" si="1"/>
        <v>0</v>
      </c>
      <c r="K11" s="12">
        <f>E11*('Reality Constants'!$B$3 * 'Reality Constants'!$B$3)*'Reality Constants'!$B$8</f>
        <v>0</v>
      </c>
    </row>
    <row r="12" ht="22.5" customHeight="1">
      <c r="A12" s="6" t="s">
        <v>44</v>
      </c>
      <c r="B12" s="6" t="s">
        <v>46</v>
      </c>
      <c r="C12" s="11">
        <v>13.003355</v>
      </c>
      <c r="D12" s="11">
        <v>1.1</v>
      </c>
      <c r="E12" s="12">
        <f>C12*'Reality Constants'!$B$2</f>
        <v>0</v>
      </c>
      <c r="F12" s="12">
        <f>E12 * ('Reality Constants'!$B$3 * 2)</f>
        <v>0</v>
      </c>
      <c r="G12" s="12">
        <f>F12 / 'Reality Constants'!$B$4</f>
        <v>80.80622569</v>
      </c>
      <c r="H12" s="12">
        <f>F12 / 'Reality Constants'!$B$5</f>
        <v>0</v>
      </c>
      <c r="I12" s="13" t="str">
        <f t="array" ref="I12">IFERROR(INDEX('Price Matrix'!A:E, MATCH(B12, 'Price Matrix'!B:B, 0), 5),"")</f>
        <v/>
      </c>
      <c r="J12" s="12" t="str">
        <f t="shared" si="1"/>
        <v/>
      </c>
      <c r="K12" s="12">
        <f>E12*('Reality Constants'!$B$3 * 'Reality Constants'!$B$3)*'Reality Constants'!$B$8</f>
        <v>0</v>
      </c>
    </row>
    <row r="13" ht="22.5" customHeight="1">
      <c r="A13" s="6" t="s">
        <v>47</v>
      </c>
      <c r="B13" s="6" t="s">
        <v>48</v>
      </c>
      <c r="C13" s="11">
        <v>14.003074</v>
      </c>
      <c r="D13" s="11">
        <v>99.63</v>
      </c>
      <c r="E13" s="12">
        <f>C13*'Reality Constants'!$B$2</f>
        <v>0</v>
      </c>
      <c r="F13" s="12">
        <f>E13 * ('Reality Constants'!$B$3 * 2)</f>
        <v>0</v>
      </c>
      <c r="G13" s="12">
        <f>F13 / 'Reality Constants'!$B$4</f>
        <v>87.01873924</v>
      </c>
      <c r="H13" s="12">
        <f>F13 / 'Reality Constants'!$B$5</f>
        <v>0</v>
      </c>
      <c r="I13" s="13">
        <f t="array" ref="I13">IFERROR(INDEX('Price Matrix'!A:E, MATCH(B13, 'Price Matrix'!B:B, 0), 5),"")</f>
        <v>0.11</v>
      </c>
      <c r="J13" s="12">
        <f t="shared" si="1"/>
        <v>0</v>
      </c>
      <c r="K13" s="12">
        <f>E13*('Reality Constants'!$B$3 * 'Reality Constants'!$B$3)*'Reality Constants'!$B$8</f>
        <v>0</v>
      </c>
    </row>
    <row r="14" ht="22.5" customHeight="1">
      <c r="A14" s="6" t="s">
        <v>47</v>
      </c>
      <c r="B14" s="6" t="s">
        <v>49</v>
      </c>
      <c r="C14" s="11">
        <v>15.000109</v>
      </c>
      <c r="D14" s="11">
        <v>0.37</v>
      </c>
      <c r="E14" s="12">
        <f>C14*'Reality Constants'!$B$2</f>
        <v>0</v>
      </c>
      <c r="F14" s="12">
        <f>E14 * ('Reality Constants'!$B$3 * 2)</f>
        <v>0</v>
      </c>
      <c r="G14" s="12">
        <f>F14 / 'Reality Constants'!$B$4</f>
        <v>93.21457372</v>
      </c>
      <c r="H14" s="12">
        <f>F14 / 'Reality Constants'!$B$5</f>
        <v>0</v>
      </c>
      <c r="I14" s="13">
        <f t="array" ref="I14">IFERROR(INDEX('Price Matrix'!A:E, MATCH(B14, 'Price Matrix'!B:B, 0), 5),"")</f>
        <v>1310</v>
      </c>
      <c r="J14" s="12">
        <f t="shared" si="1"/>
        <v>0</v>
      </c>
      <c r="K14" s="12">
        <f>E14*('Reality Constants'!$B$3 * 'Reality Constants'!$B$3)*'Reality Constants'!$B$8</f>
        <v>0</v>
      </c>
    </row>
    <row r="15" ht="22.5" customHeight="1">
      <c r="A15" s="6" t="s">
        <v>50</v>
      </c>
      <c r="B15" s="6" t="s">
        <v>51</v>
      </c>
      <c r="C15" s="11">
        <v>15.994915</v>
      </c>
      <c r="D15" s="11">
        <v>99.76</v>
      </c>
      <c r="E15" s="12">
        <f>C15*'Reality Constants'!$B$2</f>
        <v>0</v>
      </c>
      <c r="F15" s="12">
        <f>E15 * ('Reality Constants'!$B$3 * 2)</f>
        <v>0</v>
      </c>
      <c r="G15" s="12">
        <f>F15 / 'Reality Constants'!$B$4</f>
        <v>99.39655661</v>
      </c>
      <c r="H15" s="12">
        <f>F15 / 'Reality Constants'!$B$5</f>
        <v>0</v>
      </c>
      <c r="I15" s="13">
        <f t="array" ref="I15">IFERROR(INDEX('Price Matrix'!A:E, MATCH(B15, 'Price Matrix'!B:B, 0), 5),"")</f>
        <v>0.08</v>
      </c>
      <c r="J15" s="12">
        <f t="shared" si="1"/>
        <v>0</v>
      </c>
      <c r="K15" s="12">
        <f>E15*('Reality Constants'!$B$3 * 'Reality Constants'!$B$3)*'Reality Constants'!$B$8</f>
        <v>0</v>
      </c>
    </row>
    <row r="16" ht="22.5" customHeight="1">
      <c r="A16" s="6" t="s">
        <v>50</v>
      </c>
      <c r="B16" s="6" t="s">
        <v>52</v>
      </c>
      <c r="C16" s="11">
        <v>16.999131</v>
      </c>
      <c r="D16" s="11">
        <v>0.038</v>
      </c>
      <c r="E16" s="12">
        <f>C16*'Reality Constants'!$B$2</f>
        <v>0</v>
      </c>
      <c r="F16" s="12">
        <f>E16 * ('Reality Constants'!$B$3 * 2)</f>
        <v>0</v>
      </c>
      <c r="G16" s="12">
        <f>F16 / 'Reality Constants'!$B$4</f>
        <v>105.6370157</v>
      </c>
      <c r="H16" s="12">
        <f>F16 / 'Reality Constants'!$B$5</f>
        <v>0</v>
      </c>
      <c r="I16" s="13" t="str">
        <f t="array" ref="I16">IFERROR(INDEX('Price Matrix'!A:E, MATCH(B16, 'Price Matrix'!B:B, 0), 5),"")</f>
        <v/>
      </c>
      <c r="J16" s="12" t="str">
        <f t="shared" si="1"/>
        <v/>
      </c>
      <c r="K16" s="12">
        <f>E16*('Reality Constants'!$B$3 * 'Reality Constants'!$B$3)*'Reality Constants'!$B$8</f>
        <v>0</v>
      </c>
    </row>
    <row r="17" ht="22.5" customHeight="1">
      <c r="A17" s="6" t="s">
        <v>50</v>
      </c>
      <c r="B17" s="6" t="s">
        <v>53</v>
      </c>
      <c r="C17" s="11">
        <v>17.999159</v>
      </c>
      <c r="D17" s="11">
        <v>0.2</v>
      </c>
      <c r="E17" s="12">
        <f>C17*'Reality Constants'!$B$2</f>
        <v>0</v>
      </c>
      <c r="F17" s="12">
        <f>E17 * ('Reality Constants'!$B$3 * 2)</f>
        <v>0</v>
      </c>
      <c r="G17" s="12">
        <f>F17 / 'Reality Constants'!$B$4</f>
        <v>111.8514494</v>
      </c>
      <c r="H17" s="12">
        <f>F17 / 'Reality Constants'!$B$5</f>
        <v>0</v>
      </c>
      <c r="I17" s="13" t="str">
        <f t="array" ref="I17">IFERROR(INDEX('Price Matrix'!A:E, MATCH(B17, 'Price Matrix'!B:B, 0), 5),"")</f>
        <v/>
      </c>
      <c r="J17" s="12" t="str">
        <f t="shared" si="1"/>
        <v/>
      </c>
      <c r="K17" s="12">
        <f>E17*('Reality Constants'!$B$3 * 'Reality Constants'!$B$3)*'Reality Constants'!$B$8</f>
        <v>0</v>
      </c>
    </row>
    <row r="18" ht="22.5" customHeight="1">
      <c r="A18" s="6" t="s">
        <v>54</v>
      </c>
      <c r="B18" s="6" t="s">
        <v>55</v>
      </c>
      <c r="C18" s="11">
        <v>18.998403</v>
      </c>
      <c r="D18" s="11">
        <v>100.0</v>
      </c>
      <c r="E18" s="12">
        <f>C18*'Reality Constants'!$B$2</f>
        <v>0</v>
      </c>
      <c r="F18" s="12">
        <f>E18 * ('Reality Constants'!$B$3 * 2)</f>
        <v>0</v>
      </c>
      <c r="G18" s="12">
        <f>F18 / 'Reality Constants'!$B$4</f>
        <v>118.0610112</v>
      </c>
      <c r="H18" s="12">
        <f>F18 / 'Reality Constants'!$B$5</f>
        <v>0</v>
      </c>
      <c r="I18" s="13">
        <f t="array" ref="I18">IFERROR(INDEX('Price Matrix'!A:E, MATCH(B18, 'Price Matrix'!B:B, 0), 5),"")</f>
        <v>15</v>
      </c>
      <c r="J18" s="12">
        <f t="shared" si="1"/>
        <v>0</v>
      </c>
      <c r="K18" s="12">
        <f>E18*('Reality Constants'!$B$3 * 'Reality Constants'!$B$3)*'Reality Constants'!$B$8</f>
        <v>0</v>
      </c>
    </row>
    <row r="19" ht="22.5" customHeight="1">
      <c r="A19" s="6" t="s">
        <v>56</v>
      </c>
      <c r="B19" s="6" t="s">
        <v>57</v>
      </c>
      <c r="C19" s="11">
        <v>19.992439</v>
      </c>
      <c r="D19" s="11">
        <v>90.6</v>
      </c>
      <c r="E19" s="12">
        <f>C19*'Reality Constants'!$B$2</f>
        <v>0</v>
      </c>
      <c r="F19" s="12">
        <f>E19 * ('Reality Constants'!$B$3 * 2)</f>
        <v>0</v>
      </c>
      <c r="G19" s="12">
        <f>F19 / 'Reality Constants'!$B$4</f>
        <v>124.2382091</v>
      </c>
      <c r="H19" s="12">
        <f>F19 / 'Reality Constants'!$B$5</f>
        <v>0</v>
      </c>
      <c r="I19" s="13">
        <f t="array" ref="I19">IFERROR(INDEX('Price Matrix'!A:E, MATCH(B19, 'Price Matrix'!B:B, 0), 5),"")</f>
        <v>2</v>
      </c>
      <c r="J19" s="12">
        <f t="shared" si="1"/>
        <v>0</v>
      </c>
      <c r="K19" s="12">
        <f>E19*('Reality Constants'!$B$3 * 'Reality Constants'!$B$3)*'Reality Constants'!$B$8</f>
        <v>0</v>
      </c>
    </row>
    <row r="20" ht="22.5" customHeight="1">
      <c r="A20" s="6" t="s">
        <v>56</v>
      </c>
      <c r="B20" s="6" t="s">
        <v>58</v>
      </c>
      <c r="C20" s="11">
        <v>20.993845</v>
      </c>
      <c r="D20" s="11">
        <v>0.26</v>
      </c>
      <c r="E20" s="12">
        <f>C20*'Reality Constants'!$B$2</f>
        <v>0</v>
      </c>
      <c r="F20" s="12">
        <f>E20 * ('Reality Constants'!$B$3 * 2)</f>
        <v>0</v>
      </c>
      <c r="G20" s="12">
        <f>F20 / 'Reality Constants'!$B$4</f>
        <v>130.4612061</v>
      </c>
      <c r="H20" s="12">
        <f>F20 / 'Reality Constants'!$B$5</f>
        <v>0</v>
      </c>
      <c r="I20" s="13" t="str">
        <f t="array" ref="I20">IFERROR(INDEX('Price Matrix'!A:E, MATCH(B20, 'Price Matrix'!B:B, 0), 5),"")</f>
        <v/>
      </c>
      <c r="J20" s="12" t="str">
        <f t="shared" si="1"/>
        <v/>
      </c>
      <c r="K20" s="12">
        <f>E20*('Reality Constants'!$B$3 * 'Reality Constants'!$B$3)*'Reality Constants'!$B$8</f>
        <v>0</v>
      </c>
    </row>
    <row r="21" ht="22.5" customHeight="1">
      <c r="A21" s="6" t="s">
        <v>56</v>
      </c>
      <c r="B21" s="6" t="s">
        <v>59</v>
      </c>
      <c r="C21" s="11">
        <v>21.991384</v>
      </c>
      <c r="D21" s="11">
        <v>9.2</v>
      </c>
      <c r="E21" s="12">
        <f>C21*'Reality Constants'!$B$2</f>
        <v>0</v>
      </c>
      <c r="F21" s="12">
        <f>E21 * ('Reality Constants'!$B$3 * 2)</f>
        <v>0</v>
      </c>
      <c r="G21" s="12">
        <f>F21 / 'Reality Constants'!$B$4</f>
        <v>136.6601726</v>
      </c>
      <c r="H21" s="12">
        <f>F21 / 'Reality Constants'!$B$5</f>
        <v>0</v>
      </c>
      <c r="I21" s="13" t="str">
        <f t="array" ref="I21">IFERROR(INDEX('Price Matrix'!A:E, MATCH(B21, 'Price Matrix'!B:B, 0), 5),"")</f>
        <v/>
      </c>
      <c r="J21" s="12" t="str">
        <f t="shared" si="1"/>
        <v/>
      </c>
      <c r="K21" s="12">
        <f>E21*('Reality Constants'!$B$3 * 'Reality Constants'!$B$3)*'Reality Constants'!$B$8</f>
        <v>0</v>
      </c>
    </row>
    <row r="22" ht="22.5" customHeight="1">
      <c r="A22" s="6" t="s">
        <v>60</v>
      </c>
      <c r="B22" s="6" t="s">
        <v>61</v>
      </c>
      <c r="C22" s="11">
        <v>22.98977</v>
      </c>
      <c r="D22" s="11">
        <v>100.0</v>
      </c>
      <c r="E22" s="12">
        <f>C22*'Reality Constants'!$B$2</f>
        <v>0</v>
      </c>
      <c r="F22" s="12">
        <f>E22 * ('Reality Constants'!$B$3 * 2)</f>
        <v>0</v>
      </c>
      <c r="G22" s="12">
        <f>F22 / 'Reality Constants'!$B$4</f>
        <v>142.8644026</v>
      </c>
      <c r="H22" s="12">
        <f>F22 / 'Reality Constants'!$B$5</f>
        <v>0</v>
      </c>
      <c r="I22" s="13">
        <f t="array" ref="I22">IFERROR(INDEX('Price Matrix'!A:E, MATCH(B22, 'Price Matrix'!B:B, 0), 5),"")</f>
        <v>1.5</v>
      </c>
      <c r="J22" s="12">
        <f t="shared" si="1"/>
        <v>0</v>
      </c>
      <c r="K22" s="12">
        <f>E22*('Reality Constants'!$B$3 * 'Reality Constants'!$B$3)*'Reality Constants'!$B$8</f>
        <v>0</v>
      </c>
    </row>
    <row r="23" ht="22.5" customHeight="1">
      <c r="A23" s="6" t="s">
        <v>62</v>
      </c>
      <c r="B23" s="6" t="s">
        <v>63</v>
      </c>
      <c r="C23" s="11">
        <v>23.985045</v>
      </c>
      <c r="D23" s="11">
        <v>78.9</v>
      </c>
      <c r="E23" s="12">
        <f>C23*'Reality Constants'!$B$2</f>
        <v>0</v>
      </c>
      <c r="F23" s="12">
        <f>E23 * ('Reality Constants'!$B$3 * 2)</f>
        <v>0</v>
      </c>
      <c r="G23" s="12">
        <f>F23 / 'Reality Constants'!$B$4</f>
        <v>149.0492999</v>
      </c>
      <c r="H23" s="12">
        <f>F23 / 'Reality Constants'!$B$5</f>
        <v>0</v>
      </c>
      <c r="I23" s="13">
        <f t="array" ref="I23">IFERROR(INDEX('Price Matrix'!A:E, MATCH(B23, 'Price Matrix'!B:B, 0), 5),"")</f>
        <v>2.5</v>
      </c>
      <c r="J23" s="12">
        <f t="shared" si="1"/>
        <v>0</v>
      </c>
      <c r="K23" s="12">
        <f>E23*('Reality Constants'!$B$3 * 'Reality Constants'!$B$3)*'Reality Constants'!$B$8</f>
        <v>0</v>
      </c>
    </row>
    <row r="24" ht="22.5" customHeight="1">
      <c r="A24" s="6" t="s">
        <v>62</v>
      </c>
      <c r="B24" s="6" t="s">
        <v>64</v>
      </c>
      <c r="C24" s="11">
        <v>24.985839</v>
      </c>
      <c r="D24" s="11">
        <v>10.0</v>
      </c>
      <c r="E24" s="12">
        <f>C24*'Reality Constants'!$B$2</f>
        <v>0</v>
      </c>
      <c r="F24" s="12">
        <f>E24 * ('Reality Constants'!$B$3 * 2)</f>
        <v>0</v>
      </c>
      <c r="G24" s="12">
        <f>F24 / 'Reality Constants'!$B$4</f>
        <v>155.2684938</v>
      </c>
      <c r="H24" s="12">
        <f>F24 / 'Reality Constants'!$B$5</f>
        <v>0</v>
      </c>
      <c r="I24" s="13" t="str">
        <f t="array" ref="I24">IFERROR(INDEX('Price Matrix'!A:E, MATCH(B24, 'Price Matrix'!B:B, 0), 5),"")</f>
        <v/>
      </c>
      <c r="J24" s="12" t="str">
        <f t="shared" si="1"/>
        <v/>
      </c>
      <c r="K24" s="12">
        <f>E24*('Reality Constants'!$B$3 * 'Reality Constants'!$B$3)*'Reality Constants'!$B$8</f>
        <v>0</v>
      </c>
    </row>
    <row r="25" ht="22.5" customHeight="1">
      <c r="A25" s="6" t="s">
        <v>62</v>
      </c>
      <c r="B25" s="6" t="s">
        <v>65</v>
      </c>
      <c r="C25" s="11">
        <v>25.982595</v>
      </c>
      <c r="D25" s="11">
        <v>11.1</v>
      </c>
      <c r="E25" s="12">
        <f>C25*'Reality Constants'!$B$2</f>
        <v>0</v>
      </c>
      <c r="F25" s="12">
        <f>E25 * ('Reality Constants'!$B$3 * 2)</f>
        <v>0</v>
      </c>
      <c r="G25" s="12">
        <f>F25 / 'Reality Constants'!$B$4</f>
        <v>161.4625945</v>
      </c>
      <c r="H25" s="12">
        <f>F25 / 'Reality Constants'!$B$5</f>
        <v>0</v>
      </c>
      <c r="I25" s="13" t="str">
        <f t="array" ref="I25">IFERROR(INDEX('Price Matrix'!A:E, MATCH(B25, 'Price Matrix'!B:B, 0), 5),"")</f>
        <v/>
      </c>
      <c r="J25" s="12" t="str">
        <f t="shared" si="1"/>
        <v/>
      </c>
      <c r="K25" s="12">
        <f>E25*('Reality Constants'!$B$3 * 'Reality Constants'!$B$3)*'Reality Constants'!$B$8</f>
        <v>0</v>
      </c>
    </row>
    <row r="26" ht="22.5" customHeight="1">
      <c r="A26" s="6" t="s">
        <v>66</v>
      </c>
      <c r="B26" s="6" t="s">
        <v>67</v>
      </c>
      <c r="C26" s="11">
        <v>26.981541</v>
      </c>
      <c r="D26" s="11">
        <v>100.0</v>
      </c>
      <c r="E26" s="12">
        <f>C26*'Reality Constants'!$B$2</f>
        <v>0</v>
      </c>
      <c r="F26" s="12">
        <f>E26 * ('Reality Constants'!$B$3 * 2)</f>
        <v>0</v>
      </c>
      <c r="G26" s="12">
        <f>F26 / 'Reality Constants'!$B$4</f>
        <v>167.6703044</v>
      </c>
      <c r="H26" s="12">
        <f>F26 / 'Reality Constants'!$B$5</f>
        <v>0</v>
      </c>
      <c r="I26" s="13">
        <f t="array" ref="I26">IFERROR(INDEX('Price Matrix'!A:E, MATCH(B26, 'Price Matrix'!B:B, 0), 5),"")</f>
        <v>2.58</v>
      </c>
      <c r="J26" s="12">
        <f t="shared" si="1"/>
        <v>0</v>
      </c>
      <c r="K26" s="12">
        <f>E26*('Reality Constants'!$B$3 * 'Reality Constants'!$B$3)*'Reality Constants'!$B$8</f>
        <v>0</v>
      </c>
    </row>
    <row r="27" ht="22.5" customHeight="1">
      <c r="A27" s="6" t="s">
        <v>68</v>
      </c>
      <c r="B27" s="6" t="s">
        <v>69</v>
      </c>
      <c r="C27" s="11">
        <v>27.976928</v>
      </c>
      <c r="D27" s="11">
        <v>92.23</v>
      </c>
      <c r="E27" s="12">
        <f>C27*'Reality Constants'!$B$2</f>
        <v>0</v>
      </c>
      <c r="F27" s="12">
        <f>E27 * ('Reality Constants'!$B$3 * 2)</f>
        <v>0</v>
      </c>
      <c r="G27" s="12">
        <f>F27 / 'Reality Constants'!$B$4</f>
        <v>173.8558978</v>
      </c>
      <c r="H27" s="12">
        <f>F27 / 'Reality Constants'!$B$5</f>
        <v>0</v>
      </c>
      <c r="I27" s="13">
        <f t="array" ref="I27">IFERROR(INDEX('Price Matrix'!A:E, MATCH(B27, 'Price Matrix'!B:B, 0), 5),"")</f>
        <v>1.2</v>
      </c>
      <c r="J27" s="12">
        <f t="shared" si="1"/>
        <v>0</v>
      </c>
      <c r="K27" s="12">
        <f>E27*('Reality Constants'!$B$3 * 'Reality Constants'!$B$3)*'Reality Constants'!$B$8</f>
        <v>0</v>
      </c>
    </row>
    <row r="28" ht="22.5" customHeight="1">
      <c r="A28" s="6" t="s">
        <v>68</v>
      </c>
      <c r="B28" s="6" t="s">
        <v>70</v>
      </c>
      <c r="C28" s="11">
        <v>28.976496</v>
      </c>
      <c r="D28" s="11">
        <v>4.67</v>
      </c>
      <c r="E28" s="12">
        <f>C28*'Reality Constants'!$B$2</f>
        <v>0</v>
      </c>
      <c r="F28" s="12">
        <f>E28 * ('Reality Constants'!$B$3 * 2)</f>
        <v>0</v>
      </c>
      <c r="G28" s="12">
        <f>F28 / 'Reality Constants'!$B$4</f>
        <v>180.067473</v>
      </c>
      <c r="H28" s="12">
        <f>F28 / 'Reality Constants'!$B$5</f>
        <v>0</v>
      </c>
      <c r="I28" s="13" t="str">
        <f t="array" ref="I28">IFERROR(INDEX('Price Matrix'!A:E, MATCH(B28, 'Price Matrix'!B:B, 0), 5),"")</f>
        <v/>
      </c>
      <c r="J28" s="12" t="str">
        <f t="shared" si="1"/>
        <v/>
      </c>
      <c r="K28" s="12">
        <f>E28*('Reality Constants'!$B$3 * 'Reality Constants'!$B$3)*'Reality Constants'!$B$8</f>
        <v>0</v>
      </c>
    </row>
    <row r="29" ht="22.5" customHeight="1">
      <c r="A29" s="6" t="s">
        <v>68</v>
      </c>
      <c r="B29" s="6" t="s">
        <v>71</v>
      </c>
      <c r="C29" s="11">
        <v>29.973772</v>
      </c>
      <c r="D29" s="11">
        <v>3.1</v>
      </c>
      <c r="E29" s="12">
        <f>C29*'Reality Constants'!$B$2</f>
        <v>0</v>
      </c>
      <c r="F29" s="12">
        <f>E29 * ('Reality Constants'!$B$3 * 2)</f>
        <v>0</v>
      </c>
      <c r="G29" s="12">
        <f>F29 / 'Reality Constants'!$B$4</f>
        <v>186.2648051</v>
      </c>
      <c r="H29" s="12">
        <f>F29 / 'Reality Constants'!$B$5</f>
        <v>0</v>
      </c>
      <c r="I29" s="13" t="str">
        <f t="array" ref="I29">IFERROR(INDEX('Price Matrix'!A:E, MATCH(B29, 'Price Matrix'!B:B, 0), 5),"")</f>
        <v/>
      </c>
      <c r="J29" s="12" t="str">
        <f t="shared" si="1"/>
        <v/>
      </c>
      <c r="K29" s="12">
        <f>E29*('Reality Constants'!$B$3 * 'Reality Constants'!$B$3)*'Reality Constants'!$B$8</f>
        <v>0</v>
      </c>
    </row>
    <row r="30" ht="22.5" customHeight="1">
      <c r="A30" s="6" t="s">
        <v>72</v>
      </c>
      <c r="B30" s="6" t="s">
        <v>73</v>
      </c>
      <c r="C30" s="11">
        <v>30.973763</v>
      </c>
      <c r="D30" s="11">
        <v>100.0</v>
      </c>
      <c r="E30" s="12">
        <f>C30*'Reality Constants'!$B$2</f>
        <v>0</v>
      </c>
      <c r="F30" s="12">
        <f>E30 * ('Reality Constants'!$B$3 * 2)</f>
        <v>0</v>
      </c>
      <c r="G30" s="12">
        <f>F30 / 'Reality Constants'!$B$4</f>
        <v>192.479009</v>
      </c>
      <c r="H30" s="12">
        <f>F30 / 'Reality Constants'!$B$5</f>
        <v>0</v>
      </c>
      <c r="I30" s="13">
        <f t="array" ref="I30">IFERROR(INDEX('Price Matrix'!A:E, MATCH(B30, 'Price Matrix'!B:B, 0), 5),"")</f>
        <v>2.8</v>
      </c>
      <c r="J30" s="12">
        <f t="shared" si="1"/>
        <v>0</v>
      </c>
      <c r="K30" s="12">
        <f>E30*('Reality Constants'!$B$3 * 'Reality Constants'!$B$3)*'Reality Constants'!$B$8</f>
        <v>0</v>
      </c>
    </row>
    <row r="31" ht="22.5" customHeight="1">
      <c r="A31" s="6" t="s">
        <v>74</v>
      </c>
      <c r="B31" s="6" t="s">
        <v>75</v>
      </c>
      <c r="C31" s="11">
        <v>31.972072</v>
      </c>
      <c r="D31" s="11">
        <v>95.02</v>
      </c>
      <c r="E31" s="12">
        <f>C31*'Reality Constants'!$B$2</f>
        <v>0</v>
      </c>
      <c r="F31" s="12">
        <f>E31 * ('Reality Constants'!$B$3 * 2)</f>
        <v>0</v>
      </c>
      <c r="G31" s="12">
        <f>F31 / 'Reality Constants'!$B$4</f>
        <v>198.6827604</v>
      </c>
      <c r="H31" s="12">
        <f>F31 / 'Reality Constants'!$B$5</f>
        <v>0</v>
      </c>
      <c r="I31" s="13">
        <f t="array" ref="I31">IFERROR(INDEX('Price Matrix'!A:E, MATCH(B31, 'Price Matrix'!B:B, 0), 5),"")</f>
        <v>0.15</v>
      </c>
      <c r="J31" s="12">
        <f t="shared" si="1"/>
        <v>0</v>
      </c>
      <c r="K31" s="12">
        <f>E31*('Reality Constants'!$B$3 * 'Reality Constants'!$B$3)*'Reality Constants'!$B$8</f>
        <v>0</v>
      </c>
    </row>
    <row r="32" ht="22.5" customHeight="1">
      <c r="A32" s="6" t="s">
        <v>74</v>
      </c>
      <c r="B32" s="6" t="s">
        <v>76</v>
      </c>
      <c r="C32" s="11">
        <v>32.971459</v>
      </c>
      <c r="D32" s="11">
        <v>0.75</v>
      </c>
      <c r="E32" s="12">
        <f>C32*'Reality Constants'!$B$2</f>
        <v>0</v>
      </c>
      <c r="F32" s="12">
        <f>E32 * ('Reality Constants'!$B$3 * 2)</f>
        <v>0</v>
      </c>
      <c r="G32" s="12">
        <f>F32 / 'Reality Constants'!$B$4</f>
        <v>204.8932108</v>
      </c>
      <c r="H32" s="12">
        <f>F32 / 'Reality Constants'!$B$5</f>
        <v>0</v>
      </c>
      <c r="I32" s="13" t="str">
        <f t="array" ref="I32">IFERROR(INDEX('Price Matrix'!A:E, MATCH(B32, 'Price Matrix'!B:B, 0), 5),"")</f>
        <v/>
      </c>
      <c r="J32" s="12" t="str">
        <f t="shared" si="1"/>
        <v/>
      </c>
      <c r="K32" s="12">
        <f>E32*('Reality Constants'!$B$3 * 'Reality Constants'!$B$3)*'Reality Constants'!$B$8</f>
        <v>0</v>
      </c>
    </row>
    <row r="33" ht="22.5" customHeight="1">
      <c r="A33" s="6" t="s">
        <v>74</v>
      </c>
      <c r="B33" s="6" t="s">
        <v>77</v>
      </c>
      <c r="C33" s="11">
        <v>33.967868</v>
      </c>
      <c r="D33" s="11">
        <v>4.21</v>
      </c>
      <c r="E33" s="12">
        <f>C33*'Reality Constants'!$B$2</f>
        <v>0</v>
      </c>
      <c r="F33" s="12">
        <f>E33 * ('Reality Constants'!$B$3 * 2)</f>
        <v>0</v>
      </c>
      <c r="G33" s="12">
        <f>F33 / 'Reality Constants'!$B$4</f>
        <v>211.0851552</v>
      </c>
      <c r="H33" s="12">
        <f>F33 / 'Reality Constants'!$B$5</f>
        <v>0</v>
      </c>
      <c r="I33" s="13" t="str">
        <f t="array" ref="I33">IFERROR(INDEX('Price Matrix'!A:E, MATCH(B33, 'Price Matrix'!B:B, 0), 5),"")</f>
        <v/>
      </c>
      <c r="J33" s="12" t="str">
        <f t="shared" si="1"/>
        <v/>
      </c>
      <c r="K33" s="12">
        <f>E33*('Reality Constants'!$B$3 * 'Reality Constants'!$B$3)*'Reality Constants'!$B$8</f>
        <v>0</v>
      </c>
    </row>
    <row r="34" ht="22.5" customHeight="1">
      <c r="A34" s="6" t="s">
        <v>78</v>
      </c>
      <c r="B34" s="6" t="s">
        <v>79</v>
      </c>
      <c r="C34" s="11">
        <v>34.968853</v>
      </c>
      <c r="D34" s="11">
        <v>75.77</v>
      </c>
      <c r="E34" s="12">
        <f>C34*'Reality Constants'!$B$2</f>
        <v>0</v>
      </c>
      <c r="F34" s="12">
        <f>E34 * ('Reality Constants'!$B$3 * 2)</f>
        <v>0</v>
      </c>
      <c r="G34" s="12">
        <f>F34 / 'Reality Constants'!$B$4</f>
        <v>217.305536</v>
      </c>
      <c r="H34" s="12">
        <f>F34 / 'Reality Constants'!$B$5</f>
        <v>0</v>
      </c>
      <c r="I34" s="13">
        <f t="array" ref="I34">IFERROR(INDEX('Price Matrix'!A:E, MATCH(B34, 'Price Matrix'!B:B, 0), 5),"")</f>
        <v>0.25</v>
      </c>
      <c r="J34" s="12">
        <f t="shared" si="1"/>
        <v>0</v>
      </c>
      <c r="K34" s="12">
        <f>E34*('Reality Constants'!$B$3 * 'Reality Constants'!$B$3)*'Reality Constants'!$B$8</f>
        <v>0</v>
      </c>
    </row>
    <row r="35" ht="22.5" customHeight="1">
      <c r="A35" s="6" t="s">
        <v>74</v>
      </c>
      <c r="B35" s="6" t="s">
        <v>80</v>
      </c>
      <c r="C35" s="11">
        <v>35.967079</v>
      </c>
      <c r="D35" s="11">
        <v>0.02</v>
      </c>
      <c r="E35" s="12">
        <f>C35*'Reality Constants'!$B$2</f>
        <v>0</v>
      </c>
      <c r="F35" s="12">
        <f>E35 * ('Reality Constants'!$B$3 * 2)</f>
        <v>0</v>
      </c>
      <c r="G35" s="12">
        <f>F35 / 'Reality Constants'!$B$4</f>
        <v>223.5087716</v>
      </c>
      <c r="H35" s="12">
        <f>F35 / 'Reality Constants'!$B$5</f>
        <v>0</v>
      </c>
      <c r="I35" s="13" t="str">
        <f t="array" ref="I35">IFERROR(INDEX('Price Matrix'!A:E, MATCH(B35, 'Price Matrix'!B:B, 0), 5),"")</f>
        <v/>
      </c>
      <c r="J35" s="12" t="str">
        <f t="shared" si="1"/>
        <v/>
      </c>
      <c r="K35" s="12">
        <f>E35*('Reality Constants'!$B$3 * 'Reality Constants'!$B$3)*'Reality Constants'!$B$8</f>
        <v>0</v>
      </c>
    </row>
    <row r="36" ht="22.5" customHeight="1">
      <c r="A36" s="6" t="s">
        <v>81</v>
      </c>
      <c r="B36" s="6" t="s">
        <v>82</v>
      </c>
      <c r="C36" s="11">
        <v>35.967546</v>
      </c>
      <c r="D36" s="11">
        <v>0.34</v>
      </c>
      <c r="E36" s="12">
        <f>C36*'Reality Constants'!$B$2</f>
        <v>0</v>
      </c>
      <c r="F36" s="12">
        <f>E36 * ('Reality Constants'!$B$3 * 2)</f>
        <v>0</v>
      </c>
      <c r="G36" s="12">
        <f>F36 / 'Reality Constants'!$B$4</f>
        <v>223.5116737</v>
      </c>
      <c r="H36" s="12">
        <f>F36 / 'Reality Constants'!$B$5</f>
        <v>0</v>
      </c>
      <c r="I36" s="13" t="str">
        <f t="array" ref="I36">IFERROR(INDEX('Price Matrix'!A:E, MATCH(B36, 'Price Matrix'!B:B, 0), 5),"")</f>
        <v/>
      </c>
      <c r="J36" s="12" t="str">
        <f t="shared" si="1"/>
        <v/>
      </c>
      <c r="K36" s="12">
        <f>E36*('Reality Constants'!$B$3 * 'Reality Constants'!$B$3)*'Reality Constants'!$B$8</f>
        <v>0</v>
      </c>
    </row>
    <row r="37" ht="22.5" customHeight="1">
      <c r="A37" s="6" t="s">
        <v>78</v>
      </c>
      <c r="B37" s="6" t="s">
        <v>83</v>
      </c>
      <c r="C37" s="11">
        <v>36.965903</v>
      </c>
      <c r="D37" s="11">
        <v>24.23</v>
      </c>
      <c r="E37" s="12">
        <f>C37*'Reality Constants'!$B$2</f>
        <v>0</v>
      </c>
      <c r="F37" s="12">
        <f>E37 * ('Reality Constants'!$B$3 * 2)</f>
        <v>0</v>
      </c>
      <c r="G37" s="12">
        <f>F37 / 'Reality Constants'!$B$4</f>
        <v>229.7157234</v>
      </c>
      <c r="H37" s="12">
        <f>F37 / 'Reality Constants'!$B$5</f>
        <v>0</v>
      </c>
      <c r="I37" s="13" t="str">
        <f t="array" ref="I37">IFERROR(INDEX('Price Matrix'!A:E, MATCH(B37, 'Price Matrix'!B:B, 0), 5),"")</f>
        <v/>
      </c>
      <c r="J37" s="12" t="str">
        <f t="shared" si="1"/>
        <v/>
      </c>
      <c r="K37" s="12">
        <f>E37*('Reality Constants'!$B$3 * 'Reality Constants'!$B$3)*'Reality Constants'!$B$8</f>
        <v>0</v>
      </c>
    </row>
    <row r="38" ht="22.5" customHeight="1">
      <c r="A38" s="6" t="s">
        <v>81</v>
      </c>
      <c r="B38" s="6" t="s">
        <v>84</v>
      </c>
      <c r="C38" s="11">
        <v>37.962732</v>
      </c>
      <c r="D38" s="11">
        <v>0.063</v>
      </c>
      <c r="E38" s="12">
        <f>C38*'Reality Constants'!$B$2</f>
        <v>0</v>
      </c>
      <c r="F38" s="12">
        <f>E38 * ('Reality Constants'!$B$3 * 2)</f>
        <v>0</v>
      </c>
      <c r="G38" s="12">
        <f>F38 / 'Reality Constants'!$B$4</f>
        <v>235.9102778</v>
      </c>
      <c r="H38" s="12">
        <f>F38 / 'Reality Constants'!$B$5</f>
        <v>0</v>
      </c>
      <c r="I38" s="13" t="str">
        <f t="array" ref="I38">IFERROR(INDEX('Price Matrix'!A:E, MATCH(B38, 'Price Matrix'!B:B, 0), 5),"")</f>
        <v/>
      </c>
      <c r="J38" s="12" t="str">
        <f t="shared" si="1"/>
        <v/>
      </c>
      <c r="K38" s="12">
        <f>E38*('Reality Constants'!$B$3 * 'Reality Constants'!$B$3)*'Reality Constants'!$B$8</f>
        <v>0</v>
      </c>
    </row>
    <row r="39" ht="22.5" customHeight="1">
      <c r="A39" s="6" t="s">
        <v>85</v>
      </c>
      <c r="B39" s="6" t="s">
        <v>86</v>
      </c>
      <c r="C39" s="11">
        <v>38.963708</v>
      </c>
      <c r="D39" s="11">
        <v>93.2</v>
      </c>
      <c r="E39" s="12">
        <f>C39*'Reality Constants'!$B$2</f>
        <v>0</v>
      </c>
      <c r="F39" s="12">
        <f>E39 * ('Reality Constants'!$B$3 * 2)</f>
        <v>0</v>
      </c>
      <c r="G39" s="12">
        <f>F39 / 'Reality Constants'!$B$4</f>
        <v>242.1306026</v>
      </c>
      <c r="H39" s="12">
        <f>F39 / 'Reality Constants'!$B$5</f>
        <v>0</v>
      </c>
      <c r="I39" s="13">
        <f t="array" ref="I39">IFERROR(INDEX('Price Matrix'!A:E, MATCH(B39, 'Price Matrix'!B:B, 0), 5),"")</f>
        <v>2.5</v>
      </c>
      <c r="J39" s="12">
        <f t="shared" si="1"/>
        <v>0</v>
      </c>
      <c r="K39" s="12">
        <f>E39*('Reality Constants'!$B$3 * 'Reality Constants'!$B$3)*'Reality Constants'!$B$8</f>
        <v>0</v>
      </c>
    </row>
    <row r="40" ht="22.5" customHeight="1">
      <c r="A40" s="6" t="s">
        <v>81</v>
      </c>
      <c r="B40" s="6" t="s">
        <v>87</v>
      </c>
      <c r="C40" s="11">
        <v>39.962383</v>
      </c>
      <c r="D40" s="11">
        <v>99.6</v>
      </c>
      <c r="E40" s="12">
        <f>C40*'Reality Constants'!$B$2</f>
        <v>0</v>
      </c>
      <c r="F40" s="12">
        <f>E40 * ('Reality Constants'!$B$3 * 2)</f>
        <v>0</v>
      </c>
      <c r="G40" s="12">
        <f>F40 / 'Reality Constants'!$B$4</f>
        <v>248.3366285</v>
      </c>
      <c r="H40" s="12">
        <f>F40 / 'Reality Constants'!$B$5</f>
        <v>0</v>
      </c>
      <c r="I40" s="13">
        <f t="array" ref="I40">IFERROR(INDEX('Price Matrix'!A:E, MATCH(B40, 'Price Matrix'!B:B, 0), 5),"")</f>
        <v>1.5</v>
      </c>
      <c r="J40" s="12">
        <f t="shared" si="1"/>
        <v>0</v>
      </c>
      <c r="K40" s="12">
        <f>E40*('Reality Constants'!$B$3 * 'Reality Constants'!$B$3)*'Reality Constants'!$B$8</f>
        <v>0</v>
      </c>
    </row>
    <row r="41" ht="22.5" customHeight="1">
      <c r="A41" s="6" t="s">
        <v>88</v>
      </c>
      <c r="B41" s="6" t="s">
        <v>89</v>
      </c>
      <c r="C41" s="11">
        <v>39.962591</v>
      </c>
      <c r="D41" s="11">
        <v>96.95</v>
      </c>
      <c r="E41" s="12">
        <f>C41*'Reality Constants'!$B$2</f>
        <v>0</v>
      </c>
      <c r="F41" s="12">
        <f>E41 * ('Reality Constants'!$B$3 * 2)</f>
        <v>0</v>
      </c>
      <c r="G41" s="12">
        <f>F41 / 'Reality Constants'!$B$4</f>
        <v>248.3379211</v>
      </c>
      <c r="H41" s="12">
        <f>F41 / 'Reality Constants'!$B$5</f>
        <v>0</v>
      </c>
      <c r="I41" s="13">
        <f t="array" ref="I41">IFERROR(INDEX('Price Matrix'!A:E, MATCH(B41, 'Price Matrix'!B:B, 0), 5),"")</f>
        <v>1.8</v>
      </c>
      <c r="J41" s="12">
        <f t="shared" si="1"/>
        <v>0</v>
      </c>
      <c r="K41" s="12">
        <f>E41*('Reality Constants'!$B$3 * 'Reality Constants'!$B$3)*'Reality Constants'!$B$8</f>
        <v>0</v>
      </c>
    </row>
    <row r="42" ht="22.5" customHeight="1">
      <c r="A42" s="6" t="s">
        <v>85</v>
      </c>
      <c r="B42" s="6" t="s">
        <v>90</v>
      </c>
      <c r="C42" s="11">
        <v>39.963999</v>
      </c>
      <c r="D42" s="11">
        <v>0.012</v>
      </c>
      <c r="E42" s="12">
        <f>C42*'Reality Constants'!$B$2</f>
        <v>0</v>
      </c>
      <c r="F42" s="12">
        <f>E42 * ('Reality Constants'!$B$3 * 2)</f>
        <v>0</v>
      </c>
      <c r="G42" s="12">
        <f>F42 / 'Reality Constants'!$B$4</f>
        <v>248.3466707</v>
      </c>
      <c r="H42" s="12">
        <f>F42 / 'Reality Constants'!$B$5</f>
        <v>0</v>
      </c>
      <c r="I42" s="13" t="str">
        <f t="array" ref="I42">IFERROR(INDEX('Price Matrix'!A:E, MATCH(B42, 'Price Matrix'!B:B, 0), 5),"")</f>
        <v/>
      </c>
      <c r="J42" s="12" t="str">
        <f t="shared" si="1"/>
        <v/>
      </c>
      <c r="K42" s="12">
        <f>E42*('Reality Constants'!$B$3 * 'Reality Constants'!$B$3)*'Reality Constants'!$B$8</f>
        <v>0</v>
      </c>
    </row>
    <row r="43" ht="22.5" customHeight="1">
      <c r="A43" s="6" t="s">
        <v>85</v>
      </c>
      <c r="B43" s="6" t="s">
        <v>91</v>
      </c>
      <c r="C43" s="11">
        <v>40.961825</v>
      </c>
      <c r="D43" s="11">
        <v>6.73</v>
      </c>
      <c r="E43" s="12">
        <f>C43*'Reality Constants'!$B$2</f>
        <v>0</v>
      </c>
      <c r="F43" s="12">
        <f>E43 * ('Reality Constants'!$B$3 * 2)</f>
        <v>0</v>
      </c>
      <c r="G43" s="12">
        <f>F43 / 'Reality Constants'!$B$4</f>
        <v>254.5474207</v>
      </c>
      <c r="H43" s="12">
        <f>F43 / 'Reality Constants'!$B$5</f>
        <v>0</v>
      </c>
      <c r="I43" s="13" t="str">
        <f t="array" ref="I43">IFERROR(INDEX('Price Matrix'!A:E, MATCH(B43, 'Price Matrix'!B:B, 0), 5),"")</f>
        <v/>
      </c>
      <c r="J43" s="12" t="str">
        <f t="shared" si="1"/>
        <v/>
      </c>
      <c r="K43" s="12">
        <f>E43*('Reality Constants'!$B$3 * 'Reality Constants'!$B$3)*'Reality Constants'!$B$8</f>
        <v>0</v>
      </c>
    </row>
    <row r="44" ht="22.5" customHeight="1">
      <c r="A44" s="6" t="s">
        <v>88</v>
      </c>
      <c r="B44" s="6" t="s">
        <v>92</v>
      </c>
      <c r="C44" s="11">
        <v>41.958622</v>
      </c>
      <c r="D44" s="11">
        <v>0.65</v>
      </c>
      <c r="E44" s="12">
        <f>C44*'Reality Constants'!$B$2</f>
        <v>0</v>
      </c>
      <c r="F44" s="12">
        <f>E44 * ('Reality Constants'!$B$3 * 2)</f>
        <v>0</v>
      </c>
      <c r="G44" s="12">
        <f>F44 / 'Reality Constants'!$B$4</f>
        <v>260.7417762</v>
      </c>
      <c r="H44" s="12">
        <f>F44 / 'Reality Constants'!$B$5</f>
        <v>0</v>
      </c>
      <c r="I44" s="13" t="str">
        <f t="array" ref="I44">IFERROR(INDEX('Price Matrix'!A:E, MATCH(B44, 'Price Matrix'!B:B, 0), 5),"")</f>
        <v/>
      </c>
      <c r="J44" s="12" t="str">
        <f t="shared" si="1"/>
        <v/>
      </c>
      <c r="K44" s="12">
        <f>E44*('Reality Constants'!$B$3 * 'Reality Constants'!$B$3)*'Reality Constants'!$B$8</f>
        <v>0</v>
      </c>
    </row>
    <row r="45" ht="22.5" customHeight="1">
      <c r="A45" s="6" t="s">
        <v>88</v>
      </c>
      <c r="B45" s="6" t="s">
        <v>93</v>
      </c>
      <c r="C45" s="11">
        <v>42.95877</v>
      </c>
      <c r="D45" s="11">
        <v>0.14</v>
      </c>
      <c r="E45" s="12">
        <f>C45*'Reality Constants'!$B$2</f>
        <v>0</v>
      </c>
      <c r="F45" s="12">
        <f>E45 * ('Reality Constants'!$B$3 * 2)</f>
        <v>0</v>
      </c>
      <c r="G45" s="12">
        <f>F45 / 'Reality Constants'!$B$4</f>
        <v>266.9569557</v>
      </c>
      <c r="H45" s="12">
        <f>F45 / 'Reality Constants'!$B$5</f>
        <v>0</v>
      </c>
      <c r="I45" s="13" t="str">
        <f t="array" ref="I45">IFERROR(INDEX('Price Matrix'!A:E, MATCH(B45, 'Price Matrix'!B:B, 0), 5),"")</f>
        <v/>
      </c>
      <c r="J45" s="12" t="str">
        <f t="shared" si="1"/>
        <v/>
      </c>
      <c r="K45" s="12">
        <f>E45*('Reality Constants'!$B$3 * 'Reality Constants'!$B$3)*'Reality Constants'!$B$8</f>
        <v>0</v>
      </c>
    </row>
    <row r="46" ht="22.5" customHeight="1">
      <c r="A46" s="6" t="s">
        <v>88</v>
      </c>
      <c r="B46" s="6" t="s">
        <v>94</v>
      </c>
      <c r="C46" s="11">
        <v>43.955485</v>
      </c>
      <c r="D46" s="11">
        <v>2.086</v>
      </c>
      <c r="E46" s="12">
        <f>C46*'Reality Constants'!$B$2</f>
        <v>0</v>
      </c>
      <c r="F46" s="12">
        <f>E46 * ('Reality Constants'!$B$3 * 2)</f>
        <v>0</v>
      </c>
      <c r="G46" s="12">
        <f>F46 / 'Reality Constants'!$B$4</f>
        <v>273.1508016</v>
      </c>
      <c r="H46" s="12">
        <f>F46 / 'Reality Constants'!$B$5</f>
        <v>0</v>
      </c>
      <c r="I46" s="13" t="str">
        <f t="array" ref="I46">IFERROR(INDEX('Price Matrix'!A:E, MATCH(B46, 'Price Matrix'!B:B, 0), 5),"")</f>
        <v/>
      </c>
      <c r="J46" s="12" t="str">
        <f t="shared" si="1"/>
        <v/>
      </c>
      <c r="K46" s="12">
        <f>E46*('Reality Constants'!$B$3 * 'Reality Constants'!$B$3)*'Reality Constants'!$B$8</f>
        <v>0</v>
      </c>
    </row>
    <row r="47" ht="22.5" customHeight="1">
      <c r="A47" s="6" t="s">
        <v>95</v>
      </c>
      <c r="B47" s="6" t="s">
        <v>96</v>
      </c>
      <c r="C47" s="11">
        <v>44.955914</v>
      </c>
      <c r="D47" s="11">
        <v>100.0</v>
      </c>
      <c r="E47" s="12">
        <f>C47*'Reality Constants'!$B$2</f>
        <v>0</v>
      </c>
      <c r="F47" s="12">
        <f>E47 * ('Reality Constants'!$B$3 * 2)</f>
        <v>0</v>
      </c>
      <c r="G47" s="12">
        <f>F47 / 'Reality Constants'!$B$4</f>
        <v>279.3677272</v>
      </c>
      <c r="H47" s="12">
        <f>F47 / 'Reality Constants'!$B$5</f>
        <v>0</v>
      </c>
      <c r="I47" s="13">
        <f t="array" ref="I47">IFERROR(INDEX('Price Matrix'!A:E, MATCH(B47, 'Price Matrix'!B:B, 0), 5),"")</f>
        <v>3778.71</v>
      </c>
      <c r="J47" s="12">
        <f t="shared" si="1"/>
        <v>0</v>
      </c>
      <c r="K47" s="12">
        <f>E47*('Reality Constants'!$B$3 * 'Reality Constants'!$B$3)*'Reality Constants'!$B$8</f>
        <v>0</v>
      </c>
    </row>
    <row r="48" ht="22.5" customHeight="1">
      <c r="A48" s="6" t="s">
        <v>97</v>
      </c>
      <c r="B48" s="6" t="s">
        <v>98</v>
      </c>
      <c r="C48" s="11">
        <v>45.952633</v>
      </c>
      <c r="D48" s="11">
        <v>8.0</v>
      </c>
      <c r="E48" s="12">
        <f>C48*'Reality Constants'!$B$2</f>
        <v>0</v>
      </c>
      <c r="F48" s="12">
        <f>E48 * ('Reality Constants'!$B$3 * 2)</f>
        <v>0</v>
      </c>
      <c r="G48" s="12">
        <f>F48 / 'Reality Constants'!$B$4</f>
        <v>285.561598</v>
      </c>
      <c r="H48" s="12">
        <f>F48 / 'Reality Constants'!$B$5</f>
        <v>0</v>
      </c>
      <c r="I48" s="13">
        <f t="array" ref="I48">IFERROR(INDEX('Price Matrix'!A:E, MATCH(B48, 'Price Matrix'!B:B, 0), 5),"")</f>
        <v>12</v>
      </c>
      <c r="J48" s="12">
        <f t="shared" si="1"/>
        <v>0</v>
      </c>
      <c r="K48" s="12">
        <f>E48*('Reality Constants'!$B$3 * 'Reality Constants'!$B$3)*'Reality Constants'!$B$8</f>
        <v>0</v>
      </c>
    </row>
    <row r="49" ht="22.5" customHeight="1">
      <c r="A49" s="6" t="s">
        <v>88</v>
      </c>
      <c r="B49" s="6" t="s">
        <v>99</v>
      </c>
      <c r="C49" s="11">
        <v>45.953689</v>
      </c>
      <c r="D49" s="11">
        <v>0.004</v>
      </c>
      <c r="E49" s="12">
        <f>C49*'Reality Constants'!$B$2</f>
        <v>0</v>
      </c>
      <c r="F49" s="12">
        <f>E49 * ('Reality Constants'!$B$3 * 2)</f>
        <v>0</v>
      </c>
      <c r="G49" s="12">
        <f>F49 / 'Reality Constants'!$B$4</f>
        <v>285.5681603</v>
      </c>
      <c r="H49" s="12">
        <f>F49 / 'Reality Constants'!$B$5</f>
        <v>0</v>
      </c>
      <c r="I49" s="13" t="str">
        <f t="array" ref="I49">IFERROR(INDEX('Price Matrix'!A:E, MATCH(B49, 'Price Matrix'!B:B, 0), 5),"")</f>
        <v/>
      </c>
      <c r="J49" s="12" t="str">
        <f t="shared" si="1"/>
        <v/>
      </c>
      <c r="K49" s="12">
        <f>E49*('Reality Constants'!$B$3 * 'Reality Constants'!$B$3)*'Reality Constants'!$B$8</f>
        <v>0</v>
      </c>
    </row>
    <row r="50" ht="22.5" customHeight="1">
      <c r="A50" s="6" t="s">
        <v>97</v>
      </c>
      <c r="B50" s="6" t="s">
        <v>100</v>
      </c>
      <c r="C50" s="11">
        <v>46.951765</v>
      </c>
      <c r="D50" s="11">
        <v>7.3</v>
      </c>
      <c r="E50" s="12">
        <f>C50*'Reality Constants'!$B$2</f>
        <v>0</v>
      </c>
      <c r="F50" s="12">
        <f>E50 * ('Reality Constants'!$B$3 * 2)</f>
        <v>0</v>
      </c>
      <c r="G50" s="12">
        <f>F50 / 'Reality Constants'!$B$4</f>
        <v>291.7704638</v>
      </c>
      <c r="H50" s="12">
        <f>F50 / 'Reality Constants'!$B$5</f>
        <v>0</v>
      </c>
      <c r="I50" s="13">
        <f t="array" ref="I50">IFERROR(INDEX('Price Matrix'!A:E, MATCH(B50, 'Price Matrix'!B:B, 0), 5),"")</f>
        <v>12</v>
      </c>
      <c r="J50" s="12">
        <f t="shared" si="1"/>
        <v>0</v>
      </c>
      <c r="K50" s="12">
        <f>E50*('Reality Constants'!$B$3 * 'Reality Constants'!$B$3)*'Reality Constants'!$B$8</f>
        <v>0</v>
      </c>
    </row>
    <row r="51" ht="22.5" customHeight="1">
      <c r="A51" s="6" t="s">
        <v>97</v>
      </c>
      <c r="B51" s="6" t="s">
        <v>101</v>
      </c>
      <c r="C51" s="11">
        <v>47.947947</v>
      </c>
      <c r="D51" s="11">
        <v>73.8</v>
      </c>
      <c r="E51" s="12">
        <f>C51*'Reality Constants'!$B$2</f>
        <v>0</v>
      </c>
      <c r="F51" s="12">
        <f>E51 * ('Reality Constants'!$B$3 * 2)</f>
        <v>0</v>
      </c>
      <c r="G51" s="12">
        <f>F51 / 'Reality Constants'!$B$4</f>
        <v>297.9609975</v>
      </c>
      <c r="H51" s="12">
        <f>F51 / 'Reality Constants'!$B$5</f>
        <v>0</v>
      </c>
      <c r="I51" s="13">
        <f t="array" ref="I51">IFERROR(INDEX('Price Matrix'!A:E, MATCH(B51, 'Price Matrix'!B:B, 0), 5),"")</f>
        <v>12</v>
      </c>
      <c r="J51" s="12">
        <f t="shared" si="1"/>
        <v>0</v>
      </c>
      <c r="K51" s="12">
        <f>E51*('Reality Constants'!$B$3 * 'Reality Constants'!$B$3)*'Reality Constants'!$B$8</f>
        <v>0</v>
      </c>
    </row>
    <row r="52" ht="22.5" customHeight="1">
      <c r="A52" s="6" t="s">
        <v>88</v>
      </c>
      <c r="B52" s="6" t="s">
        <v>102</v>
      </c>
      <c r="C52" s="11">
        <v>47.952532</v>
      </c>
      <c r="D52" s="11">
        <v>0.19</v>
      </c>
      <c r="E52" s="12">
        <f>C52*'Reality Constants'!$B$2</f>
        <v>0</v>
      </c>
      <c r="F52" s="12">
        <f>E52 * ('Reality Constants'!$B$3 * 2)</f>
        <v>0</v>
      </c>
      <c r="G52" s="12">
        <f>F52 / 'Reality Constants'!$B$4</f>
        <v>297.9894899</v>
      </c>
      <c r="H52" s="12">
        <f>F52 / 'Reality Constants'!$B$5</f>
        <v>0</v>
      </c>
      <c r="I52" s="13" t="str">
        <f t="array" ref="I52">IFERROR(INDEX('Price Matrix'!A:E, MATCH(B52, 'Price Matrix'!B:B, 0), 5),"")</f>
        <v/>
      </c>
      <c r="J52" s="12" t="str">
        <f t="shared" si="1"/>
        <v/>
      </c>
      <c r="K52" s="12">
        <f>E52*('Reality Constants'!$B$3 * 'Reality Constants'!$B$3)*'Reality Constants'!$B$8</f>
        <v>0</v>
      </c>
    </row>
    <row r="53" ht="22.5" customHeight="1">
      <c r="A53" s="6" t="s">
        <v>97</v>
      </c>
      <c r="B53" s="6" t="s">
        <v>103</v>
      </c>
      <c r="C53" s="11">
        <v>48.947871</v>
      </c>
      <c r="D53" s="11">
        <v>5.5</v>
      </c>
      <c r="E53" s="12">
        <f>C53*'Reality Constants'!$B$2</f>
        <v>0</v>
      </c>
      <c r="F53" s="12">
        <f>E53 * ('Reality Constants'!$B$3 * 2)</f>
        <v>0</v>
      </c>
      <c r="G53" s="12">
        <f>F53 / 'Reality Constants'!$B$4</f>
        <v>304.174785</v>
      </c>
      <c r="H53" s="12">
        <f>F53 / 'Reality Constants'!$B$5</f>
        <v>0</v>
      </c>
      <c r="I53" s="13">
        <f t="array" ref="I53">IFERROR(INDEX('Price Matrix'!A:E, MATCH(B53, 'Price Matrix'!B:B, 0), 5),"")</f>
        <v>12</v>
      </c>
      <c r="J53" s="12">
        <f t="shared" si="1"/>
        <v>0</v>
      </c>
      <c r="K53" s="12">
        <f>E53*('Reality Constants'!$B$3 * 'Reality Constants'!$B$3)*'Reality Constants'!$B$8</f>
        <v>0</v>
      </c>
    </row>
    <row r="54" ht="22.5" customHeight="1">
      <c r="A54" s="6" t="s">
        <v>97</v>
      </c>
      <c r="B54" s="6" t="s">
        <v>104</v>
      </c>
      <c r="C54" s="11">
        <v>49.944786</v>
      </c>
      <c r="D54" s="11">
        <v>5.4</v>
      </c>
      <c r="E54" s="12">
        <f>C54*'Reality Constants'!$B$2</f>
        <v>0</v>
      </c>
      <c r="F54" s="12">
        <f>E54 * ('Reality Constants'!$B$3 * 2)</f>
        <v>0</v>
      </c>
      <c r="G54" s="12">
        <f>F54 / 'Reality Constants'!$B$4</f>
        <v>310.3698738</v>
      </c>
      <c r="H54" s="12">
        <f>F54 / 'Reality Constants'!$B$5</f>
        <v>0</v>
      </c>
      <c r="I54" s="13">
        <f t="array" ref="I54">IFERROR(INDEX('Price Matrix'!A:E, MATCH(B54, 'Price Matrix'!B:B, 0), 5),"")</f>
        <v>12</v>
      </c>
      <c r="J54" s="12">
        <f t="shared" si="1"/>
        <v>0</v>
      </c>
      <c r="K54" s="12">
        <f>E54*('Reality Constants'!$B$3 * 'Reality Constants'!$B$3)*'Reality Constants'!$B$8</f>
        <v>0</v>
      </c>
    </row>
    <row r="55" ht="22.5" customHeight="1">
      <c r="A55" s="6" t="s">
        <v>105</v>
      </c>
      <c r="B55" s="6" t="s">
        <v>106</v>
      </c>
      <c r="C55" s="11">
        <v>49.946046</v>
      </c>
      <c r="D55" s="11">
        <v>4.35</v>
      </c>
      <c r="E55" s="12">
        <f>C55*'Reality Constants'!$B$2</f>
        <v>0</v>
      </c>
      <c r="F55" s="12">
        <f>E55 * ('Reality Constants'!$B$3 * 2)</f>
        <v>0</v>
      </c>
      <c r="G55" s="12">
        <f>F55 / 'Reality Constants'!$B$4</f>
        <v>310.3777037</v>
      </c>
      <c r="H55" s="12">
        <f>F55 / 'Reality Constants'!$B$5</f>
        <v>0</v>
      </c>
      <c r="I55" s="13">
        <f t="array" ref="I55">IFERROR(INDEX('Price Matrix'!A:E, MATCH(B55, 'Price Matrix'!B:B, 0), 5),"")</f>
        <v>8.5</v>
      </c>
      <c r="J55" s="12">
        <f t="shared" si="1"/>
        <v>0</v>
      </c>
      <c r="K55" s="12">
        <f>E55*('Reality Constants'!$B$3 * 'Reality Constants'!$B$3)*'Reality Constants'!$B$8</f>
        <v>0</v>
      </c>
    </row>
    <row r="56" ht="22.5" customHeight="1">
      <c r="A56" s="6" t="s">
        <v>107</v>
      </c>
      <c r="B56" s="6" t="s">
        <v>108</v>
      </c>
      <c r="C56" s="11">
        <v>49.947161</v>
      </c>
      <c r="D56" s="11">
        <v>0.25</v>
      </c>
      <c r="E56" s="12">
        <f>C56*'Reality Constants'!$B$2</f>
        <v>0</v>
      </c>
      <c r="F56" s="12">
        <f>E56 * ('Reality Constants'!$B$3 * 2)</f>
        <v>0</v>
      </c>
      <c r="G56" s="12">
        <f>F56 / 'Reality Constants'!$B$4</f>
        <v>310.3846326</v>
      </c>
      <c r="H56" s="12">
        <f>F56 / 'Reality Constants'!$B$5</f>
        <v>0</v>
      </c>
      <c r="I56" s="13">
        <f t="array" ref="I56">IFERROR(INDEX('Price Matrix'!A:E, MATCH(B56, 'Price Matrix'!B:B, 0), 5),"")</f>
        <v>35</v>
      </c>
      <c r="J56" s="12">
        <f t="shared" si="1"/>
        <v>0</v>
      </c>
      <c r="K56" s="12">
        <f>E56*('Reality Constants'!$B$3 * 'Reality Constants'!$B$3)*'Reality Constants'!$B$8</f>
        <v>0</v>
      </c>
    </row>
    <row r="57" ht="22.5" customHeight="1">
      <c r="A57" s="6" t="s">
        <v>107</v>
      </c>
      <c r="B57" s="6" t="s">
        <v>109</v>
      </c>
      <c r="C57" s="11">
        <v>50.943963</v>
      </c>
      <c r="D57" s="11">
        <v>99.75</v>
      </c>
      <c r="E57" s="12">
        <f>C57*'Reality Constants'!$B$2</f>
        <v>0</v>
      </c>
      <c r="F57" s="12">
        <f>E57 * ('Reality Constants'!$B$3 * 2)</f>
        <v>0</v>
      </c>
      <c r="G57" s="12">
        <f>F57 / 'Reality Constants'!$B$4</f>
        <v>316.5790192</v>
      </c>
      <c r="H57" s="12">
        <f>F57 / 'Reality Constants'!$B$5</f>
        <v>0</v>
      </c>
      <c r="I57" s="13">
        <f t="array" ref="I57">IFERROR(INDEX('Price Matrix'!A:E, MATCH(B57, 'Price Matrix'!B:B, 0), 5),"")</f>
        <v>35</v>
      </c>
      <c r="J57" s="12">
        <f t="shared" si="1"/>
        <v>0</v>
      </c>
      <c r="K57" s="12">
        <f>E57*('Reality Constants'!$B$3 * 'Reality Constants'!$B$3)*'Reality Constants'!$B$8</f>
        <v>0</v>
      </c>
    </row>
    <row r="58" ht="22.5" customHeight="1">
      <c r="A58" s="6" t="s">
        <v>105</v>
      </c>
      <c r="B58" s="6" t="s">
        <v>110</v>
      </c>
      <c r="C58" s="11">
        <v>51.94051</v>
      </c>
      <c r="D58" s="11">
        <v>83.79</v>
      </c>
      <c r="E58" s="12">
        <f>C58*'Reality Constants'!$B$2</f>
        <v>0</v>
      </c>
      <c r="F58" s="12">
        <f>E58 * ('Reality Constants'!$B$3 * 2)</f>
        <v>0</v>
      </c>
      <c r="G58" s="12">
        <f>F58 / 'Reality Constants'!$B$4</f>
        <v>322.7718211</v>
      </c>
      <c r="H58" s="12">
        <f>F58 / 'Reality Constants'!$B$5</f>
        <v>0</v>
      </c>
      <c r="I58" s="13">
        <f t="array" ref="I58">IFERROR(INDEX('Price Matrix'!A:E, MATCH(B58, 'Price Matrix'!B:B, 0), 5),"")</f>
        <v>8.5</v>
      </c>
      <c r="J58" s="12">
        <f t="shared" si="1"/>
        <v>0</v>
      </c>
      <c r="K58" s="12">
        <f>E58*('Reality Constants'!$B$3 * 'Reality Constants'!$B$3)*'Reality Constants'!$B$8</f>
        <v>0</v>
      </c>
    </row>
    <row r="59" ht="22.5" customHeight="1">
      <c r="A59" s="6" t="s">
        <v>105</v>
      </c>
      <c r="B59" s="6" t="s">
        <v>111</v>
      </c>
      <c r="C59" s="11">
        <v>52.940651</v>
      </c>
      <c r="D59" s="11">
        <v>9.5</v>
      </c>
      <c r="E59" s="12">
        <f>C59*'Reality Constants'!$B$2</f>
        <v>0</v>
      </c>
      <c r="F59" s="12">
        <f>E59 * ('Reality Constants'!$B$3 * 2)</f>
        <v>0</v>
      </c>
      <c r="G59" s="12">
        <f>F59 / 'Reality Constants'!$B$4</f>
        <v>328.9869571</v>
      </c>
      <c r="H59" s="12">
        <f>F59 / 'Reality Constants'!$B$5</f>
        <v>0</v>
      </c>
      <c r="I59" s="13">
        <f t="array" ref="I59">IFERROR(INDEX('Price Matrix'!A:E, MATCH(B59, 'Price Matrix'!B:B, 0), 5),"")</f>
        <v>8.5</v>
      </c>
      <c r="J59" s="12">
        <f t="shared" si="1"/>
        <v>0</v>
      </c>
      <c r="K59" s="12">
        <f>E59*('Reality Constants'!$B$3 * 'Reality Constants'!$B$3)*'Reality Constants'!$B$8</f>
        <v>0</v>
      </c>
    </row>
    <row r="60" ht="22.5" customHeight="1">
      <c r="A60" s="6" t="s">
        <v>105</v>
      </c>
      <c r="B60" s="6" t="s">
        <v>112</v>
      </c>
      <c r="C60" s="11">
        <v>53.938882</v>
      </c>
      <c r="D60" s="11">
        <v>2.36</v>
      </c>
      <c r="E60" s="12">
        <f>C60*'Reality Constants'!$B$2</f>
        <v>0</v>
      </c>
      <c r="F60" s="12">
        <f>E60 * ('Reality Constants'!$B$3 * 2)</f>
        <v>0</v>
      </c>
      <c r="G60" s="12">
        <f>F60 / 'Reality Constants'!$B$4</f>
        <v>335.1902238</v>
      </c>
      <c r="H60" s="12">
        <f>F60 / 'Reality Constants'!$B$5</f>
        <v>0</v>
      </c>
      <c r="I60" s="13">
        <f t="array" ref="I60">IFERROR(INDEX('Price Matrix'!A:E, MATCH(B60, 'Price Matrix'!B:B, 0), 5),"")</f>
        <v>8.5</v>
      </c>
      <c r="J60" s="12">
        <f t="shared" si="1"/>
        <v>0</v>
      </c>
      <c r="K60" s="12">
        <f>E60*('Reality Constants'!$B$3 * 'Reality Constants'!$B$3)*'Reality Constants'!$B$8</f>
        <v>0</v>
      </c>
    </row>
    <row r="61" ht="22.5" customHeight="1">
      <c r="A61" s="6" t="s">
        <v>113</v>
      </c>
      <c r="B61" s="6" t="s">
        <v>114</v>
      </c>
      <c r="C61" s="11">
        <v>53.939612</v>
      </c>
      <c r="D61" s="11">
        <v>5.8</v>
      </c>
      <c r="E61" s="12">
        <f>C61*'Reality Constants'!$B$2</f>
        <v>0</v>
      </c>
      <c r="F61" s="12">
        <f>E61 * ('Reality Constants'!$B$3 * 2)</f>
        <v>0</v>
      </c>
      <c r="G61" s="12">
        <f>F61 / 'Reality Constants'!$B$4</f>
        <v>335.1947602</v>
      </c>
      <c r="H61" s="12">
        <f>F61 / 'Reality Constants'!$B$5</f>
        <v>0</v>
      </c>
      <c r="I61" s="13">
        <f t="array" ref="I61">IFERROR(INDEX('Price Matrix'!A:E, MATCH(B61, 'Price Matrix'!B:B, 0), 5),"")</f>
        <v>0.1</v>
      </c>
      <c r="J61" s="12">
        <f t="shared" si="1"/>
        <v>0</v>
      </c>
      <c r="K61" s="12">
        <f>E61*('Reality Constants'!$B$3 * 'Reality Constants'!$B$3)*'Reality Constants'!$B$8</f>
        <v>0</v>
      </c>
    </row>
    <row r="62" ht="22.5" customHeight="1">
      <c r="A62" s="6" t="s">
        <v>115</v>
      </c>
      <c r="B62" s="6" t="s">
        <v>116</v>
      </c>
      <c r="C62" s="11">
        <v>54.938046</v>
      </c>
      <c r="D62" s="11">
        <v>100.0</v>
      </c>
      <c r="E62" s="12">
        <f>C62*'Reality Constants'!$B$2</f>
        <v>0</v>
      </c>
      <c r="F62" s="12">
        <f>E62 * ('Reality Constants'!$B$3 * 2)</f>
        <v>0</v>
      </c>
      <c r="G62" s="12">
        <f>F62 / 'Reality Constants'!$B$4</f>
        <v>341.3992884</v>
      </c>
      <c r="H62" s="12">
        <f>F62 / 'Reality Constants'!$B$5</f>
        <v>0</v>
      </c>
      <c r="I62" s="13">
        <f t="array" ref="I62">IFERROR(INDEX('Price Matrix'!A:E, MATCH(B62, 'Price Matrix'!B:B, 0), 5),"")</f>
        <v>1.8</v>
      </c>
      <c r="J62" s="12">
        <f t="shared" si="1"/>
        <v>0</v>
      </c>
      <c r="K62" s="12">
        <f>E62*('Reality Constants'!$B$3 * 'Reality Constants'!$B$3)*'Reality Constants'!$B$8</f>
        <v>0</v>
      </c>
    </row>
    <row r="63" ht="22.5" customHeight="1">
      <c r="A63" s="6" t="s">
        <v>113</v>
      </c>
      <c r="B63" s="6" t="s">
        <v>117</v>
      </c>
      <c r="C63" s="11">
        <v>55.934939</v>
      </c>
      <c r="D63" s="11">
        <v>91.72</v>
      </c>
      <c r="E63" s="12">
        <f>C63*'Reality Constants'!$B$2</f>
        <v>0</v>
      </c>
      <c r="F63" s="12">
        <f>E63 * ('Reality Constants'!$B$3 * 2)</f>
        <v>0</v>
      </c>
      <c r="G63" s="12">
        <f>F63 / 'Reality Constants'!$B$4</f>
        <v>347.5942405</v>
      </c>
      <c r="H63" s="12">
        <f>F63 / 'Reality Constants'!$B$5</f>
        <v>0</v>
      </c>
      <c r="I63" s="13">
        <f t="array" ref="I63">IFERROR(INDEX('Price Matrix'!A:E, MATCH(B63, 'Price Matrix'!B:B, 0), 5),"")</f>
        <v>0.1</v>
      </c>
      <c r="J63" s="12">
        <f t="shared" si="1"/>
        <v>0</v>
      </c>
      <c r="K63" s="12">
        <f>E63*('Reality Constants'!$B$3 * 'Reality Constants'!$B$3)*'Reality Constants'!$B$8</f>
        <v>0</v>
      </c>
    </row>
    <row r="64" ht="22.5" customHeight="1">
      <c r="A64" s="6" t="s">
        <v>113</v>
      </c>
      <c r="B64" s="6" t="s">
        <v>118</v>
      </c>
      <c r="C64" s="11">
        <v>56.935396</v>
      </c>
      <c r="D64" s="11">
        <v>2.2</v>
      </c>
      <c r="E64" s="12">
        <f>C64*'Reality Constants'!$B$2</f>
        <v>0</v>
      </c>
      <c r="F64" s="12">
        <f>E64 * ('Reality Constants'!$B$3 * 2)</f>
        <v>0</v>
      </c>
      <c r="G64" s="12">
        <f>F64 / 'Reality Constants'!$B$4</f>
        <v>353.8113402</v>
      </c>
      <c r="H64" s="12">
        <f>F64 / 'Reality Constants'!$B$5</f>
        <v>0</v>
      </c>
      <c r="I64" s="13">
        <f t="array" ref="I64">IFERROR(INDEX('Price Matrix'!A:E, MATCH(B64, 'Price Matrix'!B:B, 0), 5),"")</f>
        <v>0.1</v>
      </c>
      <c r="J64" s="12">
        <f t="shared" si="1"/>
        <v>0</v>
      </c>
      <c r="K64" s="12">
        <f>E64*('Reality Constants'!$B$3 * 'Reality Constants'!$B$3)*'Reality Constants'!$B$8</f>
        <v>0</v>
      </c>
    </row>
    <row r="65" ht="22.5" customHeight="1">
      <c r="A65" s="6" t="s">
        <v>113</v>
      </c>
      <c r="B65" s="6" t="s">
        <v>119</v>
      </c>
      <c r="C65" s="11">
        <v>57.933278</v>
      </c>
      <c r="D65" s="11">
        <v>0.28</v>
      </c>
      <c r="E65" s="12">
        <f>C65*'Reality Constants'!$B$2</f>
        <v>0</v>
      </c>
      <c r="F65" s="12">
        <f>E65 * ('Reality Constants'!$B$3 * 2)</f>
        <v>0</v>
      </c>
      <c r="G65" s="12">
        <f>F65 / 'Reality Constants'!$B$4</f>
        <v>360.0124381</v>
      </c>
      <c r="H65" s="12">
        <f>F65 / 'Reality Constants'!$B$5</f>
        <v>0</v>
      </c>
      <c r="I65" s="13">
        <f t="array" ref="I65">IFERROR(INDEX('Price Matrix'!A:E, MATCH(B65, 'Price Matrix'!B:B, 0), 5),"")</f>
        <v>0.1</v>
      </c>
      <c r="J65" s="12">
        <f t="shared" si="1"/>
        <v>0</v>
      </c>
      <c r="K65" s="12">
        <f>E65*('Reality Constants'!$B$3 * 'Reality Constants'!$B$3)*'Reality Constants'!$B$8</f>
        <v>0</v>
      </c>
    </row>
    <row r="66" ht="22.5" customHeight="1">
      <c r="A66" s="6" t="s">
        <v>120</v>
      </c>
      <c r="B66" s="6" t="s">
        <v>121</v>
      </c>
      <c r="C66" s="11">
        <v>57.935347</v>
      </c>
      <c r="D66" s="11">
        <v>68.27</v>
      </c>
      <c r="E66" s="12">
        <f>C66*'Reality Constants'!$B$2</f>
        <v>0</v>
      </c>
      <c r="F66" s="12">
        <f>E66 * ('Reality Constants'!$B$3 * 2)</f>
        <v>0</v>
      </c>
      <c r="G66" s="12">
        <f>F66 / 'Reality Constants'!$B$4</f>
        <v>360.0252954</v>
      </c>
      <c r="H66" s="12">
        <f>F66 / 'Reality Constants'!$B$5</f>
        <v>0</v>
      </c>
      <c r="I66" s="13">
        <f t="array" ref="I66">IFERROR(INDEX('Price Matrix'!A:E, MATCH(B66, 'Price Matrix'!B:B, 0), 5),"")</f>
        <v>15.33</v>
      </c>
      <c r="J66" s="12">
        <f t="shared" si="1"/>
        <v>0</v>
      </c>
      <c r="K66" s="12">
        <f>E66*('Reality Constants'!$B$3 * 'Reality Constants'!$B$3)*'Reality Constants'!$B$8</f>
        <v>0</v>
      </c>
    </row>
    <row r="67" ht="22.5" customHeight="1">
      <c r="A67" s="6" t="s">
        <v>122</v>
      </c>
      <c r="B67" s="6" t="s">
        <v>123</v>
      </c>
      <c r="C67" s="11">
        <v>58.933198</v>
      </c>
      <c r="D67" s="11">
        <v>100.0</v>
      </c>
      <c r="E67" s="12">
        <f>C67*'Reality Constants'!$B$2</f>
        <v>0</v>
      </c>
      <c r="F67" s="12">
        <f>E67 * ('Reality Constants'!$B$3 * 2)</f>
        <v>0</v>
      </c>
      <c r="G67" s="12">
        <f>F67 / 'Reality Constants'!$B$4</f>
        <v>366.2262007</v>
      </c>
      <c r="H67" s="12">
        <f>F67 / 'Reality Constants'!$B$5</f>
        <v>0</v>
      </c>
      <c r="I67" s="13">
        <f t="array" ref="I67">IFERROR(INDEX('Price Matrix'!A:E, MATCH(B67, 'Price Matrix'!B:B, 0), 5),"")</f>
        <v>30</v>
      </c>
      <c r="J67" s="12">
        <f t="shared" si="1"/>
        <v>0</v>
      </c>
      <c r="K67" s="12">
        <f>E67*('Reality Constants'!$B$3 * 'Reality Constants'!$B$3)*'Reality Constants'!$B$8</f>
        <v>0</v>
      </c>
    </row>
    <row r="68" ht="22.5" customHeight="1">
      <c r="A68" s="6" t="s">
        <v>120</v>
      </c>
      <c r="B68" s="6" t="s">
        <v>124</v>
      </c>
      <c r="C68" s="11">
        <v>59.930789</v>
      </c>
      <c r="D68" s="11">
        <v>26.1</v>
      </c>
      <c r="E68" s="12">
        <f>C68*'Reality Constants'!$B$2</f>
        <v>0</v>
      </c>
      <c r="F68" s="12">
        <f>E68 * ('Reality Constants'!$B$3 * 2)</f>
        <v>0</v>
      </c>
      <c r="G68" s="12">
        <f>F68 / 'Reality Constants'!$B$4</f>
        <v>372.4254903</v>
      </c>
      <c r="H68" s="12">
        <f>F68 / 'Reality Constants'!$B$5</f>
        <v>0</v>
      </c>
      <c r="I68" s="13">
        <f t="array" ref="I68">IFERROR(INDEX('Price Matrix'!A:E, MATCH(B68, 'Price Matrix'!B:B, 0), 5),"")</f>
        <v>15.33</v>
      </c>
      <c r="J68" s="12">
        <f t="shared" si="1"/>
        <v>0</v>
      </c>
      <c r="K68" s="12">
        <f>E68*('Reality Constants'!$B$3 * 'Reality Constants'!$B$3)*'Reality Constants'!$B$8</f>
        <v>0</v>
      </c>
    </row>
    <row r="69" ht="22.5" customHeight="1">
      <c r="A69" s="6" t="s">
        <v>120</v>
      </c>
      <c r="B69" s="6" t="s">
        <v>125</v>
      </c>
      <c r="C69" s="11">
        <v>60.931059</v>
      </c>
      <c r="D69" s="11">
        <v>1.13</v>
      </c>
      <c r="E69" s="12">
        <f>C69*'Reality Constants'!$B$2</f>
        <v>0</v>
      </c>
      <c r="F69" s="12">
        <f>E69 * ('Reality Constants'!$B$3 * 2)</f>
        <v>0</v>
      </c>
      <c r="G69" s="12">
        <f>F69 / 'Reality Constants'!$B$4</f>
        <v>378.6414279</v>
      </c>
      <c r="H69" s="12">
        <f>F69 / 'Reality Constants'!$B$5</f>
        <v>0</v>
      </c>
      <c r="I69" s="13">
        <f t="array" ref="I69">IFERROR(INDEX('Price Matrix'!A:E, MATCH(B69, 'Price Matrix'!B:B, 0), 5),"")</f>
        <v>15.33</v>
      </c>
      <c r="J69" s="12">
        <f t="shared" si="1"/>
        <v>0</v>
      </c>
      <c r="K69" s="12">
        <f>E69*('Reality Constants'!$B$3 * 'Reality Constants'!$B$3)*'Reality Constants'!$B$8</f>
        <v>0</v>
      </c>
    </row>
    <row r="70" ht="22.5" customHeight="1">
      <c r="A70" s="6" t="s">
        <v>120</v>
      </c>
      <c r="B70" s="6" t="s">
        <v>126</v>
      </c>
      <c r="C70" s="11">
        <v>61.928346</v>
      </c>
      <c r="D70" s="11">
        <v>3.59</v>
      </c>
      <c r="E70" s="12">
        <f>C70*'Reality Constants'!$B$2</f>
        <v>0</v>
      </c>
      <c r="F70" s="12">
        <f>E70 * ('Reality Constants'!$B$3 * 2)</f>
        <v>0</v>
      </c>
      <c r="G70" s="12">
        <f>F70 / 'Reality Constants'!$B$4</f>
        <v>384.8388284</v>
      </c>
      <c r="H70" s="12">
        <f>F70 / 'Reality Constants'!$B$5</f>
        <v>0</v>
      </c>
      <c r="I70" s="13">
        <f t="array" ref="I70">IFERROR(INDEX('Price Matrix'!A:E, MATCH(B70, 'Price Matrix'!B:B, 0), 5),"")</f>
        <v>15.33</v>
      </c>
      <c r="J70" s="12">
        <f t="shared" si="1"/>
        <v>0</v>
      </c>
      <c r="K70" s="12">
        <f>E70*('Reality Constants'!$B$3 * 'Reality Constants'!$B$3)*'Reality Constants'!$B$8</f>
        <v>0</v>
      </c>
    </row>
    <row r="71" ht="22.5" customHeight="1">
      <c r="A71" s="6" t="s">
        <v>127</v>
      </c>
      <c r="B71" s="6" t="s">
        <v>128</v>
      </c>
      <c r="C71" s="11">
        <v>62.929599</v>
      </c>
      <c r="D71" s="11">
        <v>69.17</v>
      </c>
      <c r="E71" s="12">
        <f>C71*'Reality Constants'!$B$2</f>
        <v>0</v>
      </c>
      <c r="F71" s="12">
        <f>E71 * ('Reality Constants'!$B$3 * 2)</f>
        <v>0</v>
      </c>
      <c r="G71" s="12">
        <f>F71 / 'Reality Constants'!$B$4</f>
        <v>391.0608746</v>
      </c>
      <c r="H71" s="12">
        <f>F71 / 'Reality Constants'!$B$5</f>
        <v>0</v>
      </c>
      <c r="I71" s="13">
        <f t="array" ref="I71">IFERROR(INDEX('Price Matrix'!A:E, MATCH(B71, 'Price Matrix'!B:B, 0), 5),"")</f>
        <v>9.73</v>
      </c>
      <c r="J71" s="12">
        <f t="shared" si="1"/>
        <v>0</v>
      </c>
      <c r="K71" s="12">
        <f>E71*('Reality Constants'!$B$3 * 'Reality Constants'!$B$3)*'Reality Constants'!$B$8</f>
        <v>0</v>
      </c>
    </row>
    <row r="72" ht="22.5" customHeight="1">
      <c r="A72" s="6" t="s">
        <v>120</v>
      </c>
      <c r="B72" s="6" t="s">
        <v>129</v>
      </c>
      <c r="C72" s="11">
        <v>63.927968</v>
      </c>
      <c r="D72" s="11">
        <v>0.91</v>
      </c>
      <c r="E72" s="12">
        <f>C72*'Reality Constants'!$B$2</f>
        <v>0</v>
      </c>
      <c r="F72" s="12">
        <f>E72 * ('Reality Constants'!$B$3 * 2)</f>
        <v>0</v>
      </c>
      <c r="G72" s="12">
        <f>F72 / 'Reality Constants'!$B$4</f>
        <v>397.2649989</v>
      </c>
      <c r="H72" s="12">
        <f>F72 / 'Reality Constants'!$B$5</f>
        <v>0</v>
      </c>
      <c r="I72" s="13">
        <f t="array" ref="I72">IFERROR(INDEX('Price Matrix'!A:E, MATCH(B72, 'Price Matrix'!B:B, 0), 5),"")</f>
        <v>15.33</v>
      </c>
      <c r="J72" s="12">
        <f t="shared" si="1"/>
        <v>0</v>
      </c>
      <c r="K72" s="12">
        <f>E72*('Reality Constants'!$B$3 * 'Reality Constants'!$B$3)*'Reality Constants'!$B$8</f>
        <v>0</v>
      </c>
    </row>
    <row r="73" ht="22.5" customHeight="1">
      <c r="A73" s="6" t="s">
        <v>130</v>
      </c>
      <c r="B73" s="6" t="s">
        <v>131</v>
      </c>
      <c r="C73" s="11">
        <v>63.929145</v>
      </c>
      <c r="D73" s="11">
        <v>48.6</v>
      </c>
      <c r="E73" s="12">
        <f>C73*'Reality Constants'!$B$2</f>
        <v>0</v>
      </c>
      <c r="F73" s="12">
        <f>E73 * ('Reality Constants'!$B$3 * 2)</f>
        <v>0</v>
      </c>
      <c r="G73" s="12">
        <f>F73 / 'Reality Constants'!$B$4</f>
        <v>397.2723131</v>
      </c>
      <c r="H73" s="12">
        <f>F73 / 'Reality Constants'!$B$5</f>
        <v>0</v>
      </c>
      <c r="I73" s="13">
        <f t="array" ref="I73">IFERROR(INDEX('Price Matrix'!A:E, MATCH(B73, 'Price Matrix'!B:B, 0), 5),"")</f>
        <v>2.81</v>
      </c>
      <c r="J73" s="12">
        <f t="shared" si="1"/>
        <v>0</v>
      </c>
      <c r="K73" s="12">
        <f>E73*('Reality Constants'!$B$3 * 'Reality Constants'!$B$3)*'Reality Constants'!$B$8</f>
        <v>0</v>
      </c>
    </row>
    <row r="74" ht="22.5" customHeight="1">
      <c r="A74" s="6" t="s">
        <v>127</v>
      </c>
      <c r="B74" s="6" t="s">
        <v>132</v>
      </c>
      <c r="C74" s="11">
        <v>64.927792</v>
      </c>
      <c r="D74" s="11">
        <v>30.83</v>
      </c>
      <c r="E74" s="12">
        <f>C74*'Reality Constants'!$B$2</f>
        <v>0</v>
      </c>
      <c r="F74" s="12">
        <f>E74 * ('Reality Constants'!$B$3 * 2)</f>
        <v>0</v>
      </c>
      <c r="G74" s="12">
        <f>F74 / 'Reality Constants'!$B$4</f>
        <v>403.478165</v>
      </c>
      <c r="H74" s="12">
        <f>F74 / 'Reality Constants'!$B$5</f>
        <v>0</v>
      </c>
      <c r="I74" s="13">
        <f t="array" ref="I74">IFERROR(INDEX('Price Matrix'!A:E, MATCH(B74, 'Price Matrix'!B:B, 0), 5),"")</f>
        <v>9.73</v>
      </c>
      <c r="J74" s="12">
        <f t="shared" si="1"/>
        <v>0</v>
      </c>
      <c r="K74" s="12">
        <f>E74*('Reality Constants'!$B$3 * 'Reality Constants'!$B$3)*'Reality Constants'!$B$8</f>
        <v>0</v>
      </c>
    </row>
    <row r="75" ht="22.5" customHeight="1">
      <c r="A75" s="6" t="s">
        <v>130</v>
      </c>
      <c r="B75" s="6" t="s">
        <v>133</v>
      </c>
      <c r="C75" s="11">
        <v>65.926035</v>
      </c>
      <c r="D75" s="11">
        <v>27.9</v>
      </c>
      <c r="E75" s="12">
        <f>C75*'Reality Constants'!$B$2</f>
        <v>0</v>
      </c>
      <c r="F75" s="12">
        <f>E75 * ('Reality Constants'!$B$3 * 2)</f>
        <v>0</v>
      </c>
      <c r="G75" s="12">
        <f>F75 / 'Reality Constants'!$B$4</f>
        <v>409.6815063</v>
      </c>
      <c r="H75" s="12">
        <f>F75 / 'Reality Constants'!$B$5</f>
        <v>0</v>
      </c>
      <c r="I75" s="13">
        <f t="array" ref="I75">IFERROR(INDEX('Price Matrix'!A:E, MATCH(B75, 'Price Matrix'!B:B, 0), 5),"")</f>
        <v>2.81</v>
      </c>
      <c r="J75" s="12">
        <f t="shared" si="1"/>
        <v>0</v>
      </c>
      <c r="K75" s="12">
        <f>E75*('Reality Constants'!$B$3 * 'Reality Constants'!$B$3)*'Reality Constants'!$B$8</f>
        <v>0</v>
      </c>
    </row>
    <row r="76" ht="22.5" customHeight="1">
      <c r="A76" s="6" t="s">
        <v>130</v>
      </c>
      <c r="B76" s="6" t="s">
        <v>134</v>
      </c>
      <c r="C76" s="11">
        <v>66.927129</v>
      </c>
      <c r="D76" s="11">
        <v>4.1</v>
      </c>
      <c r="E76" s="12">
        <f>C76*'Reality Constants'!$B$2</f>
        <v>0</v>
      </c>
      <c r="F76" s="12">
        <f>E76 * ('Reality Constants'!$B$3 * 2)</f>
        <v>0</v>
      </c>
      <c r="G76" s="12">
        <f>F76 / 'Reality Constants'!$B$4</f>
        <v>415.9025644</v>
      </c>
      <c r="H76" s="12">
        <f>F76 / 'Reality Constants'!$B$5</f>
        <v>0</v>
      </c>
      <c r="I76" s="13">
        <f t="array" ref="I76">IFERROR(INDEX('Price Matrix'!A:E, MATCH(B76, 'Price Matrix'!B:B, 0), 5),"")</f>
        <v>2.81</v>
      </c>
      <c r="J76" s="12">
        <f t="shared" si="1"/>
        <v>0</v>
      </c>
      <c r="K76" s="12">
        <f>E76*('Reality Constants'!$B$3 * 'Reality Constants'!$B$3)*'Reality Constants'!$B$8</f>
        <v>0</v>
      </c>
    </row>
    <row r="77" ht="22.5" customHeight="1">
      <c r="A77" s="6" t="s">
        <v>130</v>
      </c>
      <c r="B77" s="6" t="s">
        <v>135</v>
      </c>
      <c r="C77" s="11">
        <v>67.924846</v>
      </c>
      <c r="D77" s="11">
        <v>18.8</v>
      </c>
      <c r="E77" s="12">
        <f>C77*'Reality Constants'!$B$2</f>
        <v>0</v>
      </c>
      <c r="F77" s="12">
        <f>E77 * ('Reality Constants'!$B$3 * 2)</f>
        <v>0</v>
      </c>
      <c r="G77" s="12">
        <f>F77 / 'Reality Constants'!$B$4</f>
        <v>422.1026371</v>
      </c>
      <c r="H77" s="12">
        <f>F77 / 'Reality Constants'!$B$5</f>
        <v>0</v>
      </c>
      <c r="I77" s="13">
        <f t="array" ref="I77">IFERROR(INDEX('Price Matrix'!A:E, MATCH(B77, 'Price Matrix'!B:B, 0), 5),"")</f>
        <v>2.81</v>
      </c>
      <c r="J77" s="12">
        <f t="shared" si="1"/>
        <v>0</v>
      </c>
      <c r="K77" s="12">
        <f>E77*('Reality Constants'!$B$3 * 'Reality Constants'!$B$3)*'Reality Constants'!$B$8</f>
        <v>0</v>
      </c>
    </row>
    <row r="78" ht="22.5" customHeight="1">
      <c r="A78" s="6" t="s">
        <v>136</v>
      </c>
      <c r="B78" s="6" t="s">
        <v>137</v>
      </c>
      <c r="C78" s="11">
        <v>68.925581</v>
      </c>
      <c r="D78" s="11">
        <v>60.1</v>
      </c>
      <c r="E78" s="12">
        <f>C78*'Reality Constants'!$B$2</f>
        <v>0</v>
      </c>
      <c r="F78" s="12">
        <f>E78 * ('Reality Constants'!$B$3 * 2)</f>
        <v>0</v>
      </c>
      <c r="G78" s="12">
        <f>F78 / 'Reality Constants'!$B$4</f>
        <v>428.3214643</v>
      </c>
      <c r="H78" s="12">
        <f>F78 / 'Reality Constants'!$B$5</f>
        <v>0</v>
      </c>
      <c r="I78" s="13">
        <f t="array" ref="I78">IFERROR(INDEX('Price Matrix'!A:E, MATCH(B78, 'Price Matrix'!B:B, 0), 5),"")</f>
        <v>198.47</v>
      </c>
      <c r="J78" s="12">
        <f t="shared" si="1"/>
        <v>0</v>
      </c>
      <c r="K78" s="12">
        <f>E78*('Reality Constants'!$B$3 * 'Reality Constants'!$B$3)*'Reality Constants'!$B$8</f>
        <v>0</v>
      </c>
    </row>
    <row r="79" ht="22.5" customHeight="1">
      <c r="A79" s="6" t="s">
        <v>138</v>
      </c>
      <c r="B79" s="6" t="s">
        <v>139</v>
      </c>
      <c r="C79" s="11">
        <v>69.92425</v>
      </c>
      <c r="D79" s="11">
        <v>20.5</v>
      </c>
      <c r="E79" s="12">
        <f>C79*'Reality Constants'!$B$2</f>
        <v>0</v>
      </c>
      <c r="F79" s="12">
        <f>E79 * ('Reality Constants'!$B$3 * 2)</f>
        <v>0</v>
      </c>
      <c r="G79" s="12">
        <f>F79 / 'Reality Constants'!$B$4</f>
        <v>434.5274529</v>
      </c>
      <c r="H79" s="12">
        <f>F79 / 'Reality Constants'!$B$5</f>
        <v>0</v>
      </c>
      <c r="I79" s="13">
        <f t="array" ref="I79">IFERROR(INDEX('Price Matrix'!A:E, MATCH(B79, 'Price Matrix'!B:B, 0), 5),"")</f>
        <v>1782</v>
      </c>
      <c r="J79" s="12">
        <f t="shared" si="1"/>
        <v>0</v>
      </c>
      <c r="K79" s="12">
        <f>E79*('Reality Constants'!$B$3 * 'Reality Constants'!$B$3)*'Reality Constants'!$B$8</f>
        <v>0</v>
      </c>
    </row>
    <row r="80" ht="22.5" customHeight="1">
      <c r="A80" s="6" t="s">
        <v>130</v>
      </c>
      <c r="B80" s="6" t="s">
        <v>140</v>
      </c>
      <c r="C80" s="11">
        <v>69.925325</v>
      </c>
      <c r="D80" s="11">
        <v>0.6</v>
      </c>
      <c r="E80" s="12">
        <f>C80*'Reality Constants'!$B$2</f>
        <v>0</v>
      </c>
      <c r="F80" s="12">
        <f>E80 * ('Reality Constants'!$B$3 * 2)</f>
        <v>0</v>
      </c>
      <c r="G80" s="12">
        <f>F80 / 'Reality Constants'!$B$4</f>
        <v>434.5341332</v>
      </c>
      <c r="H80" s="12">
        <f>F80 / 'Reality Constants'!$B$5</f>
        <v>0</v>
      </c>
      <c r="I80" s="13">
        <f t="array" ref="I80">IFERROR(INDEX('Price Matrix'!A:E, MATCH(B80, 'Price Matrix'!B:B, 0), 5),"")</f>
        <v>2.81</v>
      </c>
      <c r="J80" s="12">
        <f t="shared" si="1"/>
        <v>0</v>
      </c>
      <c r="K80" s="12">
        <f>E80*('Reality Constants'!$B$3 * 'Reality Constants'!$B$3)*'Reality Constants'!$B$8</f>
        <v>0</v>
      </c>
    </row>
    <row r="81" ht="22.5" customHeight="1">
      <c r="A81" s="6" t="s">
        <v>136</v>
      </c>
      <c r="B81" s="6" t="s">
        <v>141</v>
      </c>
      <c r="C81" s="11">
        <v>70.924701</v>
      </c>
      <c r="D81" s="11">
        <v>39.9</v>
      </c>
      <c r="E81" s="12">
        <f>C81*'Reality Constants'!$B$2</f>
        <v>0</v>
      </c>
      <c r="F81" s="12">
        <f>E81 * ('Reality Constants'!$B$3 * 2)</f>
        <v>0</v>
      </c>
      <c r="G81" s="12">
        <f>F81 / 'Reality Constants'!$B$4</f>
        <v>440.7445153</v>
      </c>
      <c r="H81" s="12">
        <f>F81 / 'Reality Constants'!$B$5</f>
        <v>0</v>
      </c>
      <c r="I81" s="13">
        <f t="array" ref="I81">IFERROR(INDEX('Price Matrix'!A:E, MATCH(B81, 'Price Matrix'!B:B, 0), 5),"")</f>
        <v>198.47</v>
      </c>
      <c r="J81" s="12">
        <f t="shared" si="1"/>
        <v>0</v>
      </c>
      <c r="K81" s="12">
        <f>E81*('Reality Constants'!$B$3 * 'Reality Constants'!$B$3)*'Reality Constants'!$B$8</f>
        <v>0</v>
      </c>
    </row>
    <row r="82" ht="22.5" customHeight="1">
      <c r="A82" s="6" t="s">
        <v>138</v>
      </c>
      <c r="B82" s="6" t="s">
        <v>142</v>
      </c>
      <c r="C82" s="11">
        <v>71.92208</v>
      </c>
      <c r="D82" s="11">
        <v>27.4</v>
      </c>
      <c r="E82" s="12">
        <f>C82*'Reality Constants'!$B$2</f>
        <v>0</v>
      </c>
      <c r="F82" s="12">
        <f>E82 * ('Reality Constants'!$B$3 * 2)</f>
        <v>0</v>
      </c>
      <c r="G82" s="12">
        <f>F82 / 'Reality Constants'!$B$4</f>
        <v>446.9424874</v>
      </c>
      <c r="H82" s="12">
        <f>F82 / 'Reality Constants'!$B$5</f>
        <v>0</v>
      </c>
      <c r="I82" s="13">
        <f t="array" ref="I82">IFERROR(INDEX('Price Matrix'!A:E, MATCH(B82, 'Price Matrix'!B:B, 0), 5),"")</f>
        <v>1782</v>
      </c>
      <c r="J82" s="12">
        <f t="shared" si="1"/>
        <v>0</v>
      </c>
      <c r="K82" s="12">
        <f>E82*('Reality Constants'!$B$3 * 'Reality Constants'!$B$3)*'Reality Constants'!$B$8</f>
        <v>0</v>
      </c>
    </row>
    <row r="83" ht="22.5" customHeight="1">
      <c r="A83" s="6" t="s">
        <v>138</v>
      </c>
      <c r="B83" s="6" t="s">
        <v>143</v>
      </c>
      <c r="C83" s="11">
        <v>72.923464</v>
      </c>
      <c r="D83" s="11">
        <v>7.8</v>
      </c>
      <c r="E83" s="12">
        <f>C83*'Reality Constants'!$B$2</f>
        <v>0</v>
      </c>
      <c r="F83" s="12">
        <f>E83 * ('Reality Constants'!$B$3 * 2)</f>
        <v>0</v>
      </c>
      <c r="G83" s="12">
        <f>F83 / 'Reality Constants'!$B$4</f>
        <v>453.1653477</v>
      </c>
      <c r="H83" s="12">
        <f>F83 / 'Reality Constants'!$B$5</f>
        <v>0</v>
      </c>
      <c r="I83" s="13">
        <f t="array" ref="I83">IFERROR(INDEX('Price Matrix'!A:E, MATCH(B83, 'Price Matrix'!B:B, 0), 5),"")</f>
        <v>1782</v>
      </c>
      <c r="J83" s="12">
        <f t="shared" si="1"/>
        <v>0</v>
      </c>
      <c r="K83" s="12">
        <f>E83*('Reality Constants'!$B$3 * 'Reality Constants'!$B$3)*'Reality Constants'!$B$8</f>
        <v>0</v>
      </c>
    </row>
    <row r="84" ht="22.5" customHeight="1">
      <c r="A84" s="6" t="s">
        <v>138</v>
      </c>
      <c r="B84" s="6" t="s">
        <v>144</v>
      </c>
      <c r="C84" s="11">
        <v>73.921179</v>
      </c>
      <c r="D84" s="11">
        <v>36.5</v>
      </c>
      <c r="E84" s="12">
        <f>C84*'Reality Constants'!$B$2</f>
        <v>0</v>
      </c>
      <c r="F84" s="12">
        <f>E84 * ('Reality Constants'!$B$3 * 2)</f>
        <v>0</v>
      </c>
      <c r="G84" s="12">
        <f>F84 / 'Reality Constants'!$B$4</f>
        <v>459.3654079</v>
      </c>
      <c r="H84" s="12">
        <f>F84 / 'Reality Constants'!$B$5</f>
        <v>0</v>
      </c>
      <c r="I84" s="13">
        <f t="array" ref="I84">IFERROR(INDEX('Price Matrix'!A:E, MATCH(B84, 'Price Matrix'!B:B, 0), 5),"")</f>
        <v>1782</v>
      </c>
      <c r="J84" s="12">
        <f t="shared" si="1"/>
        <v>0</v>
      </c>
      <c r="K84" s="12">
        <f>E84*('Reality Constants'!$B$3 * 'Reality Constants'!$B$3)*'Reality Constants'!$B$8</f>
        <v>0</v>
      </c>
    </row>
    <row r="85" ht="22.5" customHeight="1">
      <c r="A85" s="6" t="s">
        <v>145</v>
      </c>
      <c r="B85" s="6" t="s">
        <v>146</v>
      </c>
      <c r="C85" s="11">
        <v>73.922477</v>
      </c>
      <c r="D85" s="11">
        <v>0.9</v>
      </c>
      <c r="E85" s="12">
        <f>C85*'Reality Constants'!$B$2</f>
        <v>0</v>
      </c>
      <c r="F85" s="12">
        <f>E85 * ('Reality Constants'!$B$3 * 2)</f>
        <v>0</v>
      </c>
      <c r="G85" s="12">
        <f>F85 / 'Reality Constants'!$B$4</f>
        <v>459.373474</v>
      </c>
      <c r="H85" s="12">
        <f>F85 / 'Reality Constants'!$B$5</f>
        <v>0</v>
      </c>
      <c r="I85" s="13">
        <f t="array" ref="I85">IFERROR(INDEX('Price Matrix'!A:E, MATCH(B85, 'Price Matrix'!B:B, 0), 5),"")</f>
        <v>85</v>
      </c>
      <c r="J85" s="12">
        <f t="shared" si="1"/>
        <v>0</v>
      </c>
      <c r="K85" s="12">
        <f>E85*('Reality Constants'!$B$3 * 'Reality Constants'!$B$3)*'Reality Constants'!$B$8</f>
        <v>0</v>
      </c>
    </row>
    <row r="86" ht="22.5" customHeight="1">
      <c r="A86" s="6" t="s">
        <v>147</v>
      </c>
      <c r="B86" s="6" t="s">
        <v>148</v>
      </c>
      <c r="C86" s="11">
        <v>74.921596</v>
      </c>
      <c r="D86" s="11">
        <v>100.0</v>
      </c>
      <c r="E86" s="12">
        <f>C86*'Reality Constants'!$B$2</f>
        <v>0</v>
      </c>
      <c r="F86" s="12">
        <f>E86 * ('Reality Constants'!$B$3 * 2)</f>
        <v>0</v>
      </c>
      <c r="G86" s="12">
        <f>F86 / 'Reality Constants'!$B$4</f>
        <v>465.582259</v>
      </c>
      <c r="H86" s="12">
        <f>F86 / 'Reality Constants'!$B$5</f>
        <v>0</v>
      </c>
      <c r="I86" s="13">
        <f t="array" ref="I86">IFERROR(INDEX('Price Matrix'!A:E, MATCH(B86, 'Price Matrix'!B:B, 0), 5),"")</f>
        <v>2.5</v>
      </c>
      <c r="J86" s="12">
        <f t="shared" si="1"/>
        <v>0</v>
      </c>
      <c r="K86" s="12">
        <f>E86*('Reality Constants'!$B$3 * 'Reality Constants'!$B$3)*'Reality Constants'!$B$8</f>
        <v>0</v>
      </c>
    </row>
    <row r="87" ht="22.5" customHeight="1">
      <c r="A87" s="6" t="s">
        <v>145</v>
      </c>
      <c r="B87" s="6" t="s">
        <v>149</v>
      </c>
      <c r="C87" s="11">
        <v>75.919207</v>
      </c>
      <c r="D87" s="11">
        <v>9.0</v>
      </c>
      <c r="E87" s="12">
        <f>C87*'Reality Constants'!$B$2</f>
        <v>0</v>
      </c>
      <c r="F87" s="12">
        <f>E87 * ('Reality Constants'!$B$3 * 2)</f>
        <v>0</v>
      </c>
      <c r="G87" s="12">
        <f>F87 / 'Reality Constants'!$B$4</f>
        <v>471.7816729</v>
      </c>
      <c r="H87" s="12">
        <f>F87 / 'Reality Constants'!$B$5</f>
        <v>0</v>
      </c>
      <c r="I87" s="13">
        <f t="array" ref="I87">IFERROR(INDEX('Price Matrix'!A:E, MATCH(B87, 'Price Matrix'!B:B, 0), 5),"")</f>
        <v>85</v>
      </c>
      <c r="J87" s="12">
        <f t="shared" si="1"/>
        <v>0</v>
      </c>
      <c r="K87" s="12">
        <f>E87*('Reality Constants'!$B$3 * 'Reality Constants'!$B$3)*'Reality Constants'!$B$8</f>
        <v>0</v>
      </c>
    </row>
    <row r="88" ht="22.5" customHeight="1">
      <c r="A88" s="6" t="s">
        <v>138</v>
      </c>
      <c r="B88" s="6" t="s">
        <v>150</v>
      </c>
      <c r="C88" s="11">
        <v>75.921403</v>
      </c>
      <c r="D88" s="11">
        <v>7.8</v>
      </c>
      <c r="E88" s="12">
        <f>C88*'Reality Constants'!$B$2</f>
        <v>0</v>
      </c>
      <c r="F88" s="12">
        <f>E88 * ('Reality Constants'!$B$3 * 2)</f>
        <v>0</v>
      </c>
      <c r="G88" s="12">
        <f>F88 / 'Reality Constants'!$B$4</f>
        <v>471.7953194</v>
      </c>
      <c r="H88" s="12">
        <f>F88 / 'Reality Constants'!$B$5</f>
        <v>0</v>
      </c>
      <c r="I88" s="13">
        <f t="array" ref="I88">IFERROR(INDEX('Price Matrix'!A:E, MATCH(B88, 'Price Matrix'!B:B, 0), 5),"")</f>
        <v>1782</v>
      </c>
      <c r="J88" s="12">
        <f t="shared" si="1"/>
        <v>0</v>
      </c>
      <c r="K88" s="12">
        <f>E88*('Reality Constants'!$B$3 * 'Reality Constants'!$B$3)*'Reality Constants'!$B$8</f>
        <v>0</v>
      </c>
    </row>
    <row r="89" ht="22.5" customHeight="1">
      <c r="A89" s="6" t="s">
        <v>145</v>
      </c>
      <c r="B89" s="6" t="s">
        <v>151</v>
      </c>
      <c r="C89" s="11">
        <v>76.919908</v>
      </c>
      <c r="D89" s="11">
        <v>7.6</v>
      </c>
      <c r="E89" s="12">
        <f>C89*'Reality Constants'!$B$2</f>
        <v>0</v>
      </c>
      <c r="F89" s="12">
        <f>E89 * ('Reality Constants'!$B$3 * 2)</f>
        <v>0</v>
      </c>
      <c r="G89" s="12">
        <f>F89 / 'Reality Constants'!$B$4</f>
        <v>478.0002889</v>
      </c>
      <c r="H89" s="12">
        <f>F89 / 'Reality Constants'!$B$5</f>
        <v>0</v>
      </c>
      <c r="I89" s="13">
        <f t="array" ref="I89">IFERROR(INDEX('Price Matrix'!A:E, MATCH(B89, 'Price Matrix'!B:B, 0), 5),"")</f>
        <v>85</v>
      </c>
      <c r="J89" s="12">
        <f t="shared" si="1"/>
        <v>0</v>
      </c>
      <c r="K89" s="12">
        <f>E89*('Reality Constants'!$B$3 * 'Reality Constants'!$B$3)*'Reality Constants'!$B$8</f>
        <v>0</v>
      </c>
    </row>
    <row r="90" ht="22.5" customHeight="1">
      <c r="A90" s="6" t="s">
        <v>145</v>
      </c>
      <c r="B90" s="6" t="s">
        <v>152</v>
      </c>
      <c r="C90" s="11">
        <v>77.917304</v>
      </c>
      <c r="D90" s="11">
        <v>23.5</v>
      </c>
      <c r="E90" s="12">
        <f>C90*'Reality Constants'!$B$2</f>
        <v>0</v>
      </c>
      <c r="F90" s="12">
        <f>E90 * ('Reality Constants'!$B$3 * 2)</f>
        <v>0</v>
      </c>
      <c r="G90" s="12">
        <f>F90 / 'Reality Constants'!$B$4</f>
        <v>484.1983667</v>
      </c>
      <c r="H90" s="12">
        <f>F90 / 'Reality Constants'!$B$5</f>
        <v>0</v>
      </c>
      <c r="I90" s="13">
        <f t="array" ref="I90">IFERROR(INDEX('Price Matrix'!A:E, MATCH(B90, 'Price Matrix'!B:B, 0), 5),"")</f>
        <v>85</v>
      </c>
      <c r="J90" s="12">
        <f t="shared" si="1"/>
        <v>0</v>
      </c>
      <c r="K90" s="12">
        <f>E90*('Reality Constants'!$B$3 * 'Reality Constants'!$B$3)*'Reality Constants'!$B$8</f>
        <v>0</v>
      </c>
    </row>
    <row r="91" ht="22.5" customHeight="1">
      <c r="A91" s="6" t="s">
        <v>153</v>
      </c>
      <c r="B91" s="6" t="s">
        <v>154</v>
      </c>
      <c r="C91" s="11">
        <v>77.920397</v>
      </c>
      <c r="D91" s="11">
        <v>0.35</v>
      </c>
      <c r="E91" s="12">
        <f>C91*'Reality Constants'!$B$2</f>
        <v>0</v>
      </c>
      <c r="F91" s="12">
        <f>E91 * ('Reality Constants'!$B$3 * 2)</f>
        <v>0</v>
      </c>
      <c r="G91" s="12">
        <f>F91 / 'Reality Constants'!$B$4</f>
        <v>484.2175874</v>
      </c>
      <c r="H91" s="12">
        <f>F91 / 'Reality Constants'!$B$5</f>
        <v>0</v>
      </c>
      <c r="I91" s="13">
        <f t="array" ref="I91">IFERROR(INDEX('Price Matrix'!A:E, MATCH(B91, 'Price Matrix'!B:B, 0), 5),"")</f>
        <v>15</v>
      </c>
      <c r="J91" s="12">
        <f t="shared" si="1"/>
        <v>0</v>
      </c>
      <c r="K91" s="12">
        <f>E91*('Reality Constants'!$B$3 * 'Reality Constants'!$B$3)*'Reality Constants'!$B$8</f>
        <v>0</v>
      </c>
    </row>
    <row r="92" ht="22.5" customHeight="1">
      <c r="A92" s="6" t="s">
        <v>155</v>
      </c>
      <c r="B92" s="6" t="s">
        <v>156</v>
      </c>
      <c r="C92" s="11">
        <v>78.918336</v>
      </c>
      <c r="D92" s="11">
        <v>50.69</v>
      </c>
      <c r="E92" s="12">
        <f>C92*'Reality Constants'!$B$2</f>
        <v>0</v>
      </c>
      <c r="F92" s="12">
        <f>E92 * ('Reality Constants'!$B$3 * 2)</f>
        <v>0</v>
      </c>
      <c r="G92" s="12">
        <f>F92 / 'Reality Constants'!$B$4</f>
        <v>490.4190396</v>
      </c>
      <c r="H92" s="12">
        <f>F92 / 'Reality Constants'!$B$5</f>
        <v>0</v>
      </c>
      <c r="I92" s="13">
        <f t="array" ref="I92">IFERROR(INDEX('Price Matrix'!A:E, MATCH(B92, 'Price Matrix'!B:B, 0), 5),"")</f>
        <v>5.2</v>
      </c>
      <c r="J92" s="12">
        <f t="shared" si="1"/>
        <v>0</v>
      </c>
      <c r="K92" s="12">
        <f>E92*('Reality Constants'!$B$3 * 'Reality Constants'!$B$3)*'Reality Constants'!$B$8</f>
        <v>0</v>
      </c>
    </row>
    <row r="93" ht="22.5" customHeight="1">
      <c r="A93" s="6" t="s">
        <v>153</v>
      </c>
      <c r="B93" s="6" t="s">
        <v>157</v>
      </c>
      <c r="C93" s="11">
        <v>79.916375</v>
      </c>
      <c r="D93" s="11">
        <v>2.25</v>
      </c>
      <c r="E93" s="12">
        <f>C93*'Reality Constants'!$B$2</f>
        <v>0</v>
      </c>
      <c r="F93" s="12">
        <f>E93 * ('Reality Constants'!$B$3 * 2)</f>
        <v>0</v>
      </c>
      <c r="G93" s="12">
        <f>F93 / 'Reality Constants'!$B$4</f>
        <v>496.6211132</v>
      </c>
      <c r="H93" s="12">
        <f>F93 / 'Reality Constants'!$B$5</f>
        <v>0</v>
      </c>
      <c r="I93" s="13">
        <f t="array" ref="I93">IFERROR(INDEX('Price Matrix'!A:E, MATCH(B93, 'Price Matrix'!B:B, 0), 5),"")</f>
        <v>15</v>
      </c>
      <c r="J93" s="12">
        <f t="shared" si="1"/>
        <v>0</v>
      </c>
      <c r="K93" s="12">
        <f>E93*('Reality Constants'!$B$3 * 'Reality Constants'!$B$3)*'Reality Constants'!$B$8</f>
        <v>0</v>
      </c>
    </row>
    <row r="94" ht="22.5" customHeight="1">
      <c r="A94" s="6" t="s">
        <v>145</v>
      </c>
      <c r="B94" s="6" t="s">
        <v>158</v>
      </c>
      <c r="C94" s="11">
        <v>79.916521</v>
      </c>
      <c r="D94" s="11">
        <v>49.6</v>
      </c>
      <c r="E94" s="12">
        <f>C94*'Reality Constants'!$B$2</f>
        <v>0</v>
      </c>
      <c r="F94" s="12">
        <f>E94 * ('Reality Constants'!$B$3 * 2)</f>
        <v>0</v>
      </c>
      <c r="G94" s="12">
        <f>F94 / 'Reality Constants'!$B$4</f>
        <v>496.6220204</v>
      </c>
      <c r="H94" s="12">
        <f>F94 / 'Reality Constants'!$B$5</f>
        <v>0</v>
      </c>
      <c r="I94" s="13">
        <f t="array" ref="I94">IFERROR(INDEX('Price Matrix'!A:E, MATCH(B94, 'Price Matrix'!B:B, 0), 5),"")</f>
        <v>85</v>
      </c>
      <c r="J94" s="12">
        <f t="shared" si="1"/>
        <v>0</v>
      </c>
      <c r="K94" s="12">
        <f>E94*('Reality Constants'!$B$3 * 'Reality Constants'!$B$3)*'Reality Constants'!$B$8</f>
        <v>0</v>
      </c>
    </row>
    <row r="95" ht="22.5" customHeight="1">
      <c r="A95" s="6" t="s">
        <v>155</v>
      </c>
      <c r="B95" s="6" t="s">
        <v>159</v>
      </c>
      <c r="C95" s="11">
        <v>80.91629</v>
      </c>
      <c r="D95" s="11">
        <v>49.31</v>
      </c>
      <c r="E95" s="12">
        <f>C95*'Reality Constants'!$B$2</f>
        <v>0</v>
      </c>
      <c r="F95" s="12">
        <f>E95 * ('Reality Constants'!$B$3 * 2)</f>
        <v>0</v>
      </c>
      <c r="G95" s="12">
        <f>F95 / 'Reality Constants'!$B$4</f>
        <v>502.8348447</v>
      </c>
      <c r="H95" s="12">
        <f>F95 / 'Reality Constants'!$B$5</f>
        <v>0</v>
      </c>
      <c r="I95" s="13">
        <f t="array" ref="I95">IFERROR(INDEX('Price Matrix'!A:E, MATCH(B95, 'Price Matrix'!B:B, 0), 5),"")</f>
        <v>5.2</v>
      </c>
      <c r="J95" s="12">
        <f t="shared" si="1"/>
        <v>0</v>
      </c>
      <c r="K95" s="12">
        <f>E95*('Reality Constants'!$B$3 * 'Reality Constants'!$B$3)*'Reality Constants'!$B$8</f>
        <v>0</v>
      </c>
    </row>
    <row r="96" ht="22.5" customHeight="1">
      <c r="A96" s="6" t="s">
        <v>153</v>
      </c>
      <c r="B96" s="6" t="s">
        <v>160</v>
      </c>
      <c r="C96" s="11">
        <v>81.913483</v>
      </c>
      <c r="D96" s="11">
        <v>11.6</v>
      </c>
      <c r="E96" s="12">
        <f>C96*'Reality Constants'!$B$2</f>
        <v>0</v>
      </c>
      <c r="F96" s="12">
        <f>E96 * ('Reality Constants'!$B$3 * 2)</f>
        <v>0</v>
      </c>
      <c r="G96" s="12">
        <f>F96 / 'Reality Constants'!$B$4</f>
        <v>509.031661</v>
      </c>
      <c r="H96" s="12">
        <f>F96 / 'Reality Constants'!$B$5</f>
        <v>0</v>
      </c>
      <c r="I96" s="13">
        <f t="array" ref="I96">IFERROR(INDEX('Price Matrix'!A:E, MATCH(B96, 'Price Matrix'!B:B, 0), 5),"")</f>
        <v>15</v>
      </c>
      <c r="J96" s="12">
        <f t="shared" si="1"/>
        <v>0</v>
      </c>
      <c r="K96" s="12">
        <f>E96*('Reality Constants'!$B$3 * 'Reality Constants'!$B$3)*'Reality Constants'!$B$8</f>
        <v>0</v>
      </c>
    </row>
    <row r="97" ht="22.5" customHeight="1">
      <c r="A97" s="6" t="s">
        <v>145</v>
      </c>
      <c r="B97" s="6" t="s">
        <v>161</v>
      </c>
      <c r="C97" s="11">
        <v>81.916709</v>
      </c>
      <c r="D97" s="11">
        <v>9.4</v>
      </c>
      <c r="E97" s="12">
        <f>C97*'Reality Constants'!$B$2</f>
        <v>0</v>
      </c>
      <c r="F97" s="12">
        <f>E97 * ('Reality Constants'!$B$3 * 2)</f>
        <v>0</v>
      </c>
      <c r="G97" s="12">
        <f>F97 / 'Reality Constants'!$B$4</f>
        <v>509.0517082</v>
      </c>
      <c r="H97" s="12">
        <f>F97 / 'Reality Constants'!$B$5</f>
        <v>0</v>
      </c>
      <c r="I97" s="13">
        <f t="array" ref="I97">IFERROR(INDEX('Price Matrix'!A:E, MATCH(B97, 'Price Matrix'!B:B, 0), 5),"")</f>
        <v>85</v>
      </c>
      <c r="J97" s="12">
        <f t="shared" si="1"/>
        <v>0</v>
      </c>
      <c r="K97" s="12">
        <f>E97*('Reality Constants'!$B$3 * 'Reality Constants'!$B$3)*'Reality Constants'!$B$8</f>
        <v>0</v>
      </c>
    </row>
    <row r="98" ht="22.5" customHeight="1">
      <c r="A98" s="6" t="s">
        <v>153</v>
      </c>
      <c r="B98" s="6" t="s">
        <v>162</v>
      </c>
      <c r="C98" s="11">
        <v>82.914134</v>
      </c>
      <c r="D98" s="11">
        <v>11.5</v>
      </c>
      <c r="E98" s="12">
        <f>C98*'Reality Constants'!$B$2</f>
        <v>0</v>
      </c>
      <c r="F98" s="12">
        <f>E98 * ('Reality Constants'!$B$3 * 2)</f>
        <v>0</v>
      </c>
      <c r="G98" s="12">
        <f>F98 / 'Reality Constants'!$B$4</f>
        <v>515.2499663</v>
      </c>
      <c r="H98" s="12">
        <f>F98 / 'Reality Constants'!$B$5</f>
        <v>0</v>
      </c>
      <c r="I98" s="13">
        <f t="array" ref="I98">IFERROR(INDEX('Price Matrix'!A:E, MATCH(B98, 'Price Matrix'!B:B, 0), 5),"")</f>
        <v>15</v>
      </c>
      <c r="J98" s="12">
        <f t="shared" si="1"/>
        <v>0</v>
      </c>
      <c r="K98" s="12">
        <f>E98*('Reality Constants'!$B$3 * 'Reality Constants'!$B$3)*'Reality Constants'!$B$8</f>
        <v>0</v>
      </c>
    </row>
    <row r="99" ht="22.5" customHeight="1">
      <c r="A99" s="6" t="s">
        <v>153</v>
      </c>
      <c r="B99" s="6" t="s">
        <v>163</v>
      </c>
      <c r="C99" s="11">
        <v>83.911506</v>
      </c>
      <c r="D99" s="11">
        <v>57.0</v>
      </c>
      <c r="E99" s="12">
        <f>C99*'Reality Constants'!$B$2</f>
        <v>0</v>
      </c>
      <c r="F99" s="12">
        <f>E99 * ('Reality Constants'!$B$3 * 2)</f>
        <v>0</v>
      </c>
      <c r="G99" s="12">
        <f>F99 / 'Reality Constants'!$B$4</f>
        <v>521.447895</v>
      </c>
      <c r="H99" s="12">
        <f>F99 / 'Reality Constants'!$B$5</f>
        <v>0</v>
      </c>
      <c r="I99" s="13">
        <f t="array" ref="I99">IFERROR(INDEX('Price Matrix'!A:E, MATCH(B99, 'Price Matrix'!B:B, 0), 5),"")</f>
        <v>15</v>
      </c>
      <c r="J99" s="12">
        <f t="shared" si="1"/>
        <v>0</v>
      </c>
      <c r="K99" s="12">
        <f>E99*('Reality Constants'!$B$3 * 'Reality Constants'!$B$3)*'Reality Constants'!$B$8</f>
        <v>0</v>
      </c>
    </row>
    <row r="100" ht="22.5" customHeight="1">
      <c r="A100" s="6" t="s">
        <v>164</v>
      </c>
      <c r="B100" s="6" t="s">
        <v>165</v>
      </c>
      <c r="C100" s="11">
        <v>83.913428</v>
      </c>
      <c r="D100" s="11">
        <v>0.56</v>
      </c>
      <c r="E100" s="12">
        <f>C100*'Reality Constants'!$B$2</f>
        <v>0</v>
      </c>
      <c r="F100" s="12">
        <f>E100 * ('Reality Constants'!$B$3 * 2)</f>
        <v>0</v>
      </c>
      <c r="G100" s="12">
        <f>F100 / 'Reality Constants'!$B$4</f>
        <v>521.4598388</v>
      </c>
      <c r="H100" s="12">
        <f>F100 / 'Reality Constants'!$B$5</f>
        <v>0</v>
      </c>
      <c r="I100" s="13">
        <f t="array" ref="I100">IFERROR(INDEX('Price Matrix'!A:E, MATCH(B100, 'Price Matrix'!B:B, 0), 5),"")</f>
        <v>8.5</v>
      </c>
      <c r="J100" s="12">
        <f t="shared" si="1"/>
        <v>0</v>
      </c>
      <c r="K100" s="12">
        <f>E100*('Reality Constants'!$B$3 * 'Reality Constants'!$B$3)*'Reality Constants'!$B$8</f>
        <v>0</v>
      </c>
    </row>
    <row r="101" ht="22.5" customHeight="1">
      <c r="A101" s="6" t="s">
        <v>166</v>
      </c>
      <c r="B101" s="6" t="s">
        <v>167</v>
      </c>
      <c r="C101" s="11">
        <v>84.9118</v>
      </c>
      <c r="D101" s="11">
        <v>72.17</v>
      </c>
      <c r="E101" s="12">
        <f>C101*'Reality Constants'!$B$2</f>
        <v>0</v>
      </c>
      <c r="F101" s="12">
        <f>E101 * ('Reality Constants'!$B$3 * 2)</f>
        <v>0</v>
      </c>
      <c r="G101" s="12">
        <f>F101 / 'Reality Constants'!$B$4</f>
        <v>527.6639817</v>
      </c>
      <c r="H101" s="12">
        <f>F101 / 'Reality Constants'!$B$5</f>
        <v>0</v>
      </c>
      <c r="I101" s="13">
        <f t="array" ref="I101">IFERROR(INDEX('Price Matrix'!A:E, MATCH(B101, 'Price Matrix'!B:B, 0), 5),"")</f>
        <v>125</v>
      </c>
      <c r="J101" s="12">
        <f t="shared" si="1"/>
        <v>0</v>
      </c>
      <c r="K101" s="12">
        <f>E101*('Reality Constants'!$B$3 * 'Reality Constants'!$B$3)*'Reality Constants'!$B$8</f>
        <v>0</v>
      </c>
    </row>
    <row r="102" ht="22.5" customHeight="1">
      <c r="A102" s="6" t="s">
        <v>164</v>
      </c>
      <c r="B102" s="6" t="s">
        <v>168</v>
      </c>
      <c r="C102" s="11">
        <v>85.909273</v>
      </c>
      <c r="D102" s="11">
        <v>9.86</v>
      </c>
      <c r="E102" s="12">
        <f>C102*'Reality Constants'!$B$2</f>
        <v>0</v>
      </c>
      <c r="F102" s="12">
        <f>E102 * ('Reality Constants'!$B$3 * 2)</f>
        <v>0</v>
      </c>
      <c r="G102" s="12">
        <f>F102 / 'Reality Constants'!$B$4</f>
        <v>533.862538</v>
      </c>
      <c r="H102" s="12">
        <f>F102 / 'Reality Constants'!$B$5</f>
        <v>0</v>
      </c>
      <c r="I102" s="13">
        <f t="array" ref="I102">IFERROR(INDEX('Price Matrix'!A:E, MATCH(B102, 'Price Matrix'!B:B, 0), 5),"")</f>
        <v>8.5</v>
      </c>
      <c r="J102" s="12">
        <f t="shared" si="1"/>
        <v>0</v>
      </c>
      <c r="K102" s="12">
        <f>E102*('Reality Constants'!$B$3 * 'Reality Constants'!$B$3)*'Reality Constants'!$B$8</f>
        <v>0</v>
      </c>
    </row>
    <row r="103" ht="22.5" customHeight="1">
      <c r="A103" s="6" t="s">
        <v>153</v>
      </c>
      <c r="B103" s="6" t="s">
        <v>169</v>
      </c>
      <c r="C103" s="11">
        <v>85.910614</v>
      </c>
      <c r="D103" s="11">
        <v>17.3</v>
      </c>
      <c r="E103" s="12">
        <f>C103*'Reality Constants'!$B$2</f>
        <v>0</v>
      </c>
      <c r="F103" s="12">
        <f>E103 * ('Reality Constants'!$B$3 * 2)</f>
        <v>0</v>
      </c>
      <c r="G103" s="12">
        <f>F103 / 'Reality Constants'!$B$4</f>
        <v>533.8708713</v>
      </c>
      <c r="H103" s="12">
        <f>F103 / 'Reality Constants'!$B$5</f>
        <v>0</v>
      </c>
      <c r="I103" s="13">
        <f t="array" ref="I103">IFERROR(INDEX('Price Matrix'!A:E, MATCH(B103, 'Price Matrix'!B:B, 0), 5),"")</f>
        <v>15</v>
      </c>
      <c r="J103" s="12">
        <f t="shared" si="1"/>
        <v>0</v>
      </c>
      <c r="K103" s="12">
        <f>E103*('Reality Constants'!$B$3 * 'Reality Constants'!$B$3)*'Reality Constants'!$B$8</f>
        <v>0</v>
      </c>
    </row>
    <row r="104" ht="22.5" customHeight="1">
      <c r="A104" s="6" t="s">
        <v>164</v>
      </c>
      <c r="B104" s="6" t="s">
        <v>170</v>
      </c>
      <c r="C104" s="11">
        <v>86.908902</v>
      </c>
      <c r="D104" s="11">
        <v>7.0</v>
      </c>
      <c r="E104" s="12">
        <f>C104*'Reality Constants'!$B$2</f>
        <v>0</v>
      </c>
      <c r="F104" s="12">
        <f>E104 * ('Reality Constants'!$B$3 * 2)</f>
        <v>0</v>
      </c>
      <c r="G104" s="12">
        <f>F104 / 'Reality Constants'!$B$4</f>
        <v>540.0744923</v>
      </c>
      <c r="H104" s="12">
        <f>F104 / 'Reality Constants'!$B$5</f>
        <v>0</v>
      </c>
      <c r="I104" s="13">
        <f t="array" ref="I104">IFERROR(INDEX('Price Matrix'!A:E, MATCH(B104, 'Price Matrix'!B:B, 0), 5),"")</f>
        <v>8.5</v>
      </c>
      <c r="J104" s="12">
        <f t="shared" si="1"/>
        <v>0</v>
      </c>
      <c r="K104" s="12">
        <f>E104*('Reality Constants'!$B$3 * 'Reality Constants'!$B$3)*'Reality Constants'!$B$8</f>
        <v>0</v>
      </c>
    </row>
    <row r="105" ht="22.5" customHeight="1">
      <c r="A105" s="6" t="s">
        <v>166</v>
      </c>
      <c r="B105" s="6" t="s">
        <v>171</v>
      </c>
      <c r="C105" s="11">
        <v>86.909184</v>
      </c>
      <c r="D105" s="11">
        <v>27.84</v>
      </c>
      <c r="E105" s="12">
        <f>C105*'Reality Constants'!$B$2</f>
        <v>0</v>
      </c>
      <c r="F105" s="12">
        <f>E105 * ('Reality Constants'!$B$3 * 2)</f>
        <v>0</v>
      </c>
      <c r="G105" s="12">
        <f>F105 / 'Reality Constants'!$B$4</f>
        <v>540.0762447</v>
      </c>
      <c r="H105" s="12">
        <f>F105 / 'Reality Constants'!$B$5</f>
        <v>0</v>
      </c>
      <c r="I105" s="13">
        <f t="array" ref="I105">IFERROR(INDEX('Price Matrix'!A:E, MATCH(B105, 'Price Matrix'!B:B, 0), 5),"")</f>
        <v>125</v>
      </c>
      <c r="J105" s="12">
        <f t="shared" si="1"/>
        <v>0</v>
      </c>
      <c r="K105" s="12">
        <f>E105*('Reality Constants'!$B$3 * 'Reality Constants'!$B$3)*'Reality Constants'!$B$8</f>
        <v>0</v>
      </c>
    </row>
    <row r="106" ht="22.5" customHeight="1">
      <c r="A106" s="6" t="s">
        <v>164</v>
      </c>
      <c r="B106" s="6" t="s">
        <v>172</v>
      </c>
      <c r="C106" s="11">
        <v>87.905625</v>
      </c>
      <c r="D106" s="11">
        <v>82.58</v>
      </c>
      <c r="E106" s="12">
        <f>C106*'Reality Constants'!$B$2</f>
        <v>0</v>
      </c>
      <c r="F106" s="12">
        <f>E106 * ('Reality Constants'!$B$3 * 2)</f>
        <v>0</v>
      </c>
      <c r="G106" s="12">
        <f>F106 / 'Reality Constants'!$B$4</f>
        <v>546.2683879</v>
      </c>
      <c r="H106" s="12">
        <f>F106 / 'Reality Constants'!$B$5</f>
        <v>0</v>
      </c>
      <c r="I106" s="13">
        <f t="array" ref="I106">IFERROR(INDEX('Price Matrix'!A:E, MATCH(B106, 'Price Matrix'!B:B, 0), 5),"")</f>
        <v>8.5</v>
      </c>
      <c r="J106" s="12">
        <f t="shared" si="1"/>
        <v>0</v>
      </c>
      <c r="K106" s="12">
        <f>E106*('Reality Constants'!$B$3 * 'Reality Constants'!$B$3)*'Reality Constants'!$B$8</f>
        <v>0</v>
      </c>
    </row>
    <row r="107" ht="22.5" customHeight="1">
      <c r="A107" s="6" t="s">
        <v>173</v>
      </c>
      <c r="B107" s="6" t="s">
        <v>174</v>
      </c>
      <c r="C107" s="11">
        <v>88.905856</v>
      </c>
      <c r="D107" s="11">
        <v>100.0</v>
      </c>
      <c r="E107" s="12">
        <f>C107*'Reality Constants'!$B$2</f>
        <v>0</v>
      </c>
      <c r="F107" s="12">
        <f>E107 * ('Reality Constants'!$B$3 * 2)</f>
        <v>0</v>
      </c>
      <c r="G107" s="12">
        <f>F107 / 'Reality Constants'!$B$4</f>
        <v>552.4840832</v>
      </c>
      <c r="H107" s="12">
        <f>F107 / 'Reality Constants'!$B$5</f>
        <v>0</v>
      </c>
      <c r="I107" s="13">
        <f t="array" ref="I107">IFERROR(INDEX('Price Matrix'!A:E, MATCH(B107, 'Price Matrix'!B:B, 0), 5),"")</f>
        <v>28.88</v>
      </c>
      <c r="J107" s="12">
        <f t="shared" si="1"/>
        <v>0</v>
      </c>
      <c r="K107" s="12">
        <f>E107*('Reality Constants'!$B$3 * 'Reality Constants'!$B$3)*'Reality Constants'!$B$8</f>
        <v>0</v>
      </c>
    </row>
    <row r="108" ht="22.5" customHeight="1">
      <c r="A108" s="6" t="s">
        <v>175</v>
      </c>
      <c r="B108" s="6" t="s">
        <v>176</v>
      </c>
      <c r="C108" s="11">
        <v>89.904708</v>
      </c>
      <c r="D108" s="11">
        <v>51.45</v>
      </c>
      <c r="E108" s="12">
        <f>C108*'Reality Constants'!$B$2</f>
        <v>0</v>
      </c>
      <c r="F108" s="12">
        <f>E108 * ('Reality Constants'!$B$3 * 2)</f>
        <v>0</v>
      </c>
      <c r="G108" s="12">
        <f>F108 / 'Reality Constants'!$B$4</f>
        <v>558.691209</v>
      </c>
      <c r="H108" s="12">
        <f>F108 / 'Reality Constants'!$B$5</f>
        <v>0</v>
      </c>
      <c r="I108" s="13">
        <f t="array" ref="I108">IFERROR(INDEX('Price Matrix'!A:E, MATCH(B108, 'Price Matrix'!B:B, 0), 5),"")</f>
        <v>39</v>
      </c>
      <c r="J108" s="12">
        <f t="shared" si="1"/>
        <v>0</v>
      </c>
      <c r="K108" s="12">
        <f>E108*('Reality Constants'!$B$3 * 'Reality Constants'!$B$3)*'Reality Constants'!$B$8</f>
        <v>0</v>
      </c>
    </row>
    <row r="109" ht="22.5" customHeight="1">
      <c r="A109" s="6" t="s">
        <v>175</v>
      </c>
      <c r="B109" s="6" t="s">
        <v>177</v>
      </c>
      <c r="C109" s="11">
        <v>90.905644</v>
      </c>
      <c r="D109" s="11">
        <v>11.27</v>
      </c>
      <c r="E109" s="12">
        <f>C109*'Reality Constants'!$B$2</f>
        <v>0</v>
      </c>
      <c r="F109" s="12">
        <f>E109 * ('Reality Constants'!$B$3 * 2)</f>
        <v>0</v>
      </c>
      <c r="G109" s="12">
        <f>F109 / 'Reality Constants'!$B$4</f>
        <v>564.9112853</v>
      </c>
      <c r="H109" s="12">
        <f>F109 / 'Reality Constants'!$B$5</f>
        <v>0</v>
      </c>
      <c r="I109" s="13">
        <f t="array" ref="I109">IFERROR(INDEX('Price Matrix'!A:E, MATCH(B109, 'Price Matrix'!B:B, 0), 5),"")</f>
        <v>39</v>
      </c>
      <c r="J109" s="12">
        <f t="shared" si="1"/>
        <v>0</v>
      </c>
      <c r="K109" s="12">
        <f>E109*('Reality Constants'!$B$3 * 'Reality Constants'!$B$3)*'Reality Constants'!$B$8</f>
        <v>0</v>
      </c>
    </row>
    <row r="110" ht="22.5" customHeight="1">
      <c r="A110" s="6" t="s">
        <v>175</v>
      </c>
      <c r="B110" s="6" t="s">
        <v>178</v>
      </c>
      <c r="C110" s="11">
        <v>91.905039</v>
      </c>
      <c r="D110" s="11">
        <v>17.17</v>
      </c>
      <c r="E110" s="12">
        <f>C110*'Reality Constants'!$B$2</f>
        <v>0</v>
      </c>
      <c r="F110" s="12">
        <f>E110 * ('Reality Constants'!$B$3 * 2)</f>
        <v>0</v>
      </c>
      <c r="G110" s="12">
        <f>F110 / 'Reality Constants'!$B$4</f>
        <v>571.1217854</v>
      </c>
      <c r="H110" s="12">
        <f>F110 / 'Reality Constants'!$B$5</f>
        <v>0</v>
      </c>
      <c r="I110" s="13">
        <f t="array" ref="I110">IFERROR(INDEX('Price Matrix'!A:E, MATCH(B110, 'Price Matrix'!B:B, 0), 5),"")</f>
        <v>39</v>
      </c>
      <c r="J110" s="12">
        <f t="shared" si="1"/>
        <v>0</v>
      </c>
      <c r="K110" s="12">
        <f>E110*('Reality Constants'!$B$3 * 'Reality Constants'!$B$3)*'Reality Constants'!$B$8</f>
        <v>0</v>
      </c>
    </row>
    <row r="111" ht="22.5" customHeight="1">
      <c r="A111" s="6" t="s">
        <v>179</v>
      </c>
      <c r="B111" s="6" t="s">
        <v>180</v>
      </c>
      <c r="C111" s="11">
        <v>91.906809</v>
      </c>
      <c r="D111" s="11">
        <v>14.84</v>
      </c>
      <c r="E111" s="12">
        <f>C111*'Reality Constants'!$B$2</f>
        <v>0</v>
      </c>
      <c r="F111" s="12">
        <f>E111 * ('Reality Constants'!$B$3 * 2)</f>
        <v>0</v>
      </c>
      <c r="G111" s="12">
        <f>F111 / 'Reality Constants'!$B$4</f>
        <v>571.1327846</v>
      </c>
      <c r="H111" s="12">
        <f>F111 / 'Reality Constants'!$B$5</f>
        <v>0</v>
      </c>
      <c r="I111" s="13">
        <f t="array" ref="I111">IFERROR(INDEX('Price Matrix'!A:E, MATCH(B111, 'Price Matrix'!B:B, 0), 5),"")</f>
        <v>38</v>
      </c>
      <c r="J111" s="12">
        <f t="shared" si="1"/>
        <v>0</v>
      </c>
      <c r="K111" s="12">
        <f>E111*('Reality Constants'!$B$3 * 'Reality Constants'!$B$3)*'Reality Constants'!$B$8</f>
        <v>0</v>
      </c>
    </row>
    <row r="112" ht="22.5" customHeight="1">
      <c r="A112" s="6" t="s">
        <v>181</v>
      </c>
      <c r="B112" s="6" t="s">
        <v>182</v>
      </c>
      <c r="C112" s="11">
        <v>92.906378</v>
      </c>
      <c r="D112" s="11">
        <v>100.0</v>
      </c>
      <c r="E112" s="12">
        <f>C112*'Reality Constants'!$B$2</f>
        <v>0</v>
      </c>
      <c r="F112" s="12">
        <f>E112 * ('Reality Constants'!$B$3 * 2)</f>
        <v>0</v>
      </c>
      <c r="G112" s="12">
        <f>F112 / 'Reality Constants'!$B$4</f>
        <v>577.344366</v>
      </c>
      <c r="H112" s="12">
        <f>F112 / 'Reality Constants'!$B$5</f>
        <v>0</v>
      </c>
      <c r="I112" s="13">
        <f t="array" ref="I112">IFERROR(INDEX('Price Matrix'!A:E, MATCH(B112, 'Price Matrix'!B:B, 0), 5),"")</f>
        <v>45</v>
      </c>
      <c r="J112" s="12">
        <f t="shared" si="1"/>
        <v>0</v>
      </c>
      <c r="K112" s="12">
        <f>E112*('Reality Constants'!$B$3 * 'Reality Constants'!$B$3)*'Reality Constants'!$B$8</f>
        <v>0</v>
      </c>
    </row>
    <row r="113" ht="22.5" customHeight="1">
      <c r="A113" s="6" t="s">
        <v>179</v>
      </c>
      <c r="B113" s="6" t="s">
        <v>183</v>
      </c>
      <c r="C113" s="11">
        <v>93.905086</v>
      </c>
      <c r="D113" s="11">
        <v>9.25</v>
      </c>
      <c r="E113" s="12">
        <f>C113*'Reality Constants'!$B$2</f>
        <v>0</v>
      </c>
      <c r="F113" s="12">
        <f>E113 * ('Reality Constants'!$B$3 * 2)</f>
        <v>0</v>
      </c>
      <c r="G113" s="12">
        <f>F113 / 'Reality Constants'!$B$4</f>
        <v>583.550597</v>
      </c>
      <c r="H113" s="12">
        <f>F113 / 'Reality Constants'!$B$5</f>
        <v>0</v>
      </c>
      <c r="I113" s="13">
        <f t="array" ref="I113">IFERROR(INDEX('Price Matrix'!A:E, MATCH(B113, 'Price Matrix'!B:B, 0), 5),"")</f>
        <v>38</v>
      </c>
      <c r="J113" s="12">
        <f t="shared" si="1"/>
        <v>0</v>
      </c>
      <c r="K113" s="12">
        <f>E113*('Reality Constants'!$B$3 * 'Reality Constants'!$B$3)*'Reality Constants'!$B$8</f>
        <v>0</v>
      </c>
    </row>
    <row r="114" ht="22.5" customHeight="1">
      <c r="A114" s="6" t="s">
        <v>175</v>
      </c>
      <c r="B114" s="6" t="s">
        <v>184</v>
      </c>
      <c r="C114" s="11">
        <v>93.906319</v>
      </c>
      <c r="D114" s="11">
        <v>17.33</v>
      </c>
      <c r="E114" s="12">
        <f>C114*'Reality Constants'!$B$2</f>
        <v>0</v>
      </c>
      <c r="F114" s="12">
        <f>E114 * ('Reality Constants'!$B$3 * 2)</f>
        <v>0</v>
      </c>
      <c r="G114" s="12">
        <f>F114 / 'Reality Constants'!$B$4</f>
        <v>583.5582592</v>
      </c>
      <c r="H114" s="12">
        <f>F114 / 'Reality Constants'!$B$5</f>
        <v>0</v>
      </c>
      <c r="I114" s="13">
        <f t="array" ref="I114">IFERROR(INDEX('Price Matrix'!A:E, MATCH(B114, 'Price Matrix'!B:B, 0), 5),"")</f>
        <v>39</v>
      </c>
      <c r="J114" s="12">
        <f t="shared" si="1"/>
        <v>0</v>
      </c>
      <c r="K114" s="12">
        <f>E114*('Reality Constants'!$B$3 * 'Reality Constants'!$B$3)*'Reality Constants'!$B$8</f>
        <v>0</v>
      </c>
    </row>
    <row r="115" ht="22.5" customHeight="1">
      <c r="A115" s="6" t="s">
        <v>179</v>
      </c>
      <c r="B115" s="6" t="s">
        <v>185</v>
      </c>
      <c r="C115" s="11">
        <v>94.905838</v>
      </c>
      <c r="D115" s="11">
        <v>15.92</v>
      </c>
      <c r="E115" s="12">
        <f>C115*'Reality Constants'!$B$2</f>
        <v>0</v>
      </c>
      <c r="F115" s="12">
        <f>E115 * ('Reality Constants'!$B$3 * 2)</f>
        <v>0</v>
      </c>
      <c r="G115" s="12">
        <f>F115 / 'Reality Constants'!$B$4</f>
        <v>589.7695299</v>
      </c>
      <c r="H115" s="12">
        <f>F115 / 'Reality Constants'!$B$5</f>
        <v>0</v>
      </c>
      <c r="I115" s="13">
        <f t="array" ref="I115">IFERROR(INDEX('Price Matrix'!A:E, MATCH(B115, 'Price Matrix'!B:B, 0), 5),"")</f>
        <v>38</v>
      </c>
      <c r="J115" s="12">
        <f t="shared" si="1"/>
        <v>0</v>
      </c>
      <c r="K115" s="12">
        <f>E115*('Reality Constants'!$B$3 * 'Reality Constants'!$B$3)*'Reality Constants'!$B$8</f>
        <v>0</v>
      </c>
    </row>
    <row r="116" ht="22.5" customHeight="1">
      <c r="A116" s="6" t="s">
        <v>179</v>
      </c>
      <c r="B116" s="6" t="s">
        <v>186</v>
      </c>
      <c r="C116" s="11">
        <v>95.904676</v>
      </c>
      <c r="D116" s="11">
        <v>16.68</v>
      </c>
      <c r="E116" s="12">
        <f>C116*'Reality Constants'!$B$2</f>
        <v>0</v>
      </c>
      <c r="F116" s="12">
        <f>E116 * ('Reality Constants'!$B$3 * 2)</f>
        <v>0</v>
      </c>
      <c r="G116" s="12">
        <f>F116 / 'Reality Constants'!$B$4</f>
        <v>595.9765687</v>
      </c>
      <c r="H116" s="12">
        <f>F116 / 'Reality Constants'!$B$5</f>
        <v>0</v>
      </c>
      <c r="I116" s="13">
        <f t="array" ref="I116">IFERROR(INDEX('Price Matrix'!A:E, MATCH(B116, 'Price Matrix'!B:B, 0), 5),"")</f>
        <v>38</v>
      </c>
      <c r="J116" s="12">
        <f t="shared" si="1"/>
        <v>0</v>
      </c>
      <c r="K116" s="12">
        <f>E116*('Reality Constants'!$B$3 * 'Reality Constants'!$B$3)*'Reality Constants'!$B$8</f>
        <v>0</v>
      </c>
    </row>
    <row r="117" ht="22.5" customHeight="1">
      <c r="A117" s="6" t="s">
        <v>187</v>
      </c>
      <c r="B117" s="6" t="s">
        <v>188</v>
      </c>
      <c r="C117" s="11">
        <v>95.907596</v>
      </c>
      <c r="D117" s="11">
        <v>5.52</v>
      </c>
      <c r="E117" s="12">
        <f>C117*'Reality Constants'!$B$2</f>
        <v>0</v>
      </c>
      <c r="F117" s="12">
        <f>E117 * ('Reality Constants'!$B$3 * 2)</f>
        <v>0</v>
      </c>
      <c r="G117" s="12">
        <f>F117 / 'Reality Constants'!$B$4</f>
        <v>595.9947143</v>
      </c>
      <c r="H117" s="12">
        <f>F117 / 'Reality Constants'!$B$5</f>
        <v>0</v>
      </c>
      <c r="I117" s="13">
        <f t="array" ref="I117">IFERROR(INDEX('Price Matrix'!A:E, MATCH(B117, 'Price Matrix'!B:B, 0), 5),"")</f>
        <v>15500</v>
      </c>
      <c r="J117" s="12">
        <f t="shared" si="1"/>
        <v>0</v>
      </c>
      <c r="K117" s="12">
        <f>E117*('Reality Constants'!$B$3 * 'Reality Constants'!$B$3)*'Reality Constants'!$B$8</f>
        <v>0</v>
      </c>
    </row>
    <row r="118" ht="22.5" customHeight="1">
      <c r="A118" s="6" t="s">
        <v>175</v>
      </c>
      <c r="B118" s="6" t="s">
        <v>189</v>
      </c>
      <c r="C118" s="11">
        <v>95.908272</v>
      </c>
      <c r="D118" s="11">
        <v>2.78</v>
      </c>
      <c r="E118" s="12">
        <f>C118*'Reality Constants'!$B$2</f>
        <v>0</v>
      </c>
      <c r="F118" s="12">
        <f>E118 * ('Reality Constants'!$B$3 * 2)</f>
        <v>0</v>
      </c>
      <c r="G118" s="12">
        <f>F118 / 'Reality Constants'!$B$4</f>
        <v>595.9989151</v>
      </c>
      <c r="H118" s="12">
        <f>F118 / 'Reality Constants'!$B$5</f>
        <v>0</v>
      </c>
      <c r="I118" s="13">
        <f t="array" ref="I118">IFERROR(INDEX('Price Matrix'!A:E, MATCH(B118, 'Price Matrix'!B:B, 0), 5),"")</f>
        <v>39</v>
      </c>
      <c r="J118" s="12">
        <f t="shared" si="1"/>
        <v>0</v>
      </c>
      <c r="K118" s="12">
        <f>E118*('Reality Constants'!$B$3 * 'Reality Constants'!$B$3)*'Reality Constants'!$B$8</f>
        <v>0</v>
      </c>
    </row>
    <row r="119" ht="22.5" customHeight="1">
      <c r="A119" s="6" t="s">
        <v>179</v>
      </c>
      <c r="B119" s="6" t="s">
        <v>190</v>
      </c>
      <c r="C119" s="11">
        <v>96.906018</v>
      </c>
      <c r="D119" s="11">
        <v>9.55</v>
      </c>
      <c r="E119" s="12">
        <f>C119*'Reality Constants'!$B$2</f>
        <v>0</v>
      </c>
      <c r="F119" s="12">
        <f>E119 * ('Reality Constants'!$B$3 * 2)</f>
        <v>0</v>
      </c>
      <c r="G119" s="12">
        <f>F119 / 'Reality Constants'!$B$4</f>
        <v>602.1991679</v>
      </c>
      <c r="H119" s="12">
        <f>F119 / 'Reality Constants'!$B$5</f>
        <v>0</v>
      </c>
      <c r="I119" s="13">
        <f t="array" ref="I119">IFERROR(INDEX('Price Matrix'!A:E, MATCH(B119, 'Price Matrix'!B:B, 0), 5),"")</f>
        <v>38</v>
      </c>
      <c r="J119" s="12">
        <f t="shared" si="1"/>
        <v>0</v>
      </c>
      <c r="K119" s="12">
        <f>E119*('Reality Constants'!$B$3 * 'Reality Constants'!$B$3)*'Reality Constants'!$B$8</f>
        <v>0</v>
      </c>
    </row>
    <row r="120" ht="22.5" customHeight="1">
      <c r="A120" s="6" t="s">
        <v>187</v>
      </c>
      <c r="B120" s="6" t="s">
        <v>191</v>
      </c>
      <c r="C120" s="11">
        <v>97.905287</v>
      </c>
      <c r="D120" s="11">
        <v>1.88</v>
      </c>
      <c r="E120" s="12">
        <f>C120*'Reality Constants'!$B$2</f>
        <v>0</v>
      </c>
      <c r="F120" s="12">
        <f>E120 * ('Reality Constants'!$B$3 * 2)</f>
        <v>0</v>
      </c>
      <c r="G120" s="12">
        <f>F120 / 'Reality Constants'!$B$4</f>
        <v>608.4088851</v>
      </c>
      <c r="H120" s="12">
        <f>F120 / 'Reality Constants'!$B$5</f>
        <v>0</v>
      </c>
      <c r="I120" s="13">
        <f t="array" ref="I120">IFERROR(INDEX('Price Matrix'!A:E, MATCH(B120, 'Price Matrix'!B:B, 0), 5),"")</f>
        <v>15500</v>
      </c>
      <c r="J120" s="12">
        <f t="shared" si="1"/>
        <v>0</v>
      </c>
      <c r="K120" s="12">
        <f>E120*('Reality Constants'!$B$3 * 'Reality Constants'!$B$3)*'Reality Constants'!$B$8</f>
        <v>0</v>
      </c>
    </row>
    <row r="121" ht="22.5" customHeight="1">
      <c r="A121" s="6" t="s">
        <v>179</v>
      </c>
      <c r="B121" s="6" t="s">
        <v>192</v>
      </c>
      <c r="C121" s="11">
        <v>97.905405</v>
      </c>
      <c r="D121" s="11">
        <v>24.13</v>
      </c>
      <c r="E121" s="12">
        <f>C121*'Reality Constants'!$B$2</f>
        <v>0</v>
      </c>
      <c r="F121" s="12">
        <f>E121 * ('Reality Constants'!$B$3 * 2)</f>
        <v>0</v>
      </c>
      <c r="G121" s="12">
        <f>F121 / 'Reality Constants'!$B$4</f>
        <v>608.4096184</v>
      </c>
      <c r="H121" s="12">
        <f>F121 / 'Reality Constants'!$B$5</f>
        <v>0</v>
      </c>
      <c r="I121" s="13">
        <f t="array" ref="I121">IFERROR(INDEX('Price Matrix'!A:E, MATCH(B121, 'Price Matrix'!B:B, 0), 5),"")</f>
        <v>38</v>
      </c>
      <c r="J121" s="12">
        <f t="shared" si="1"/>
        <v>0</v>
      </c>
      <c r="K121" s="12">
        <f>E121*('Reality Constants'!$B$3 * 'Reality Constants'!$B$3)*'Reality Constants'!$B$8</f>
        <v>0</v>
      </c>
    </row>
    <row r="122" ht="22.5" customHeight="1">
      <c r="A122" s="6" t="s">
        <v>187</v>
      </c>
      <c r="B122" s="6" t="s">
        <v>193</v>
      </c>
      <c r="C122" s="11">
        <v>98.905937</v>
      </c>
      <c r="D122" s="11">
        <v>12.7</v>
      </c>
      <c r="E122" s="12">
        <f>C122*'Reality Constants'!$B$2</f>
        <v>0</v>
      </c>
      <c r="F122" s="12">
        <f>E122 * ('Reality Constants'!$B$3 * 2)</f>
        <v>0</v>
      </c>
      <c r="G122" s="12">
        <f>F122 / 'Reality Constants'!$B$4</f>
        <v>614.6271841</v>
      </c>
      <c r="H122" s="12">
        <f>F122 / 'Reality Constants'!$B$5</f>
        <v>0</v>
      </c>
      <c r="I122" s="13">
        <f t="array" ref="I122">IFERROR(INDEX('Price Matrix'!A:E, MATCH(B122, 'Price Matrix'!B:B, 0), 5),"")</f>
        <v>15500</v>
      </c>
      <c r="J122" s="12">
        <f t="shared" si="1"/>
        <v>0</v>
      </c>
      <c r="K122" s="12">
        <f>E122*('Reality Constants'!$B$3 * 'Reality Constants'!$B$3)*'Reality Constants'!$B$8</f>
        <v>0</v>
      </c>
    </row>
    <row r="123" ht="22.5" customHeight="1">
      <c r="A123" s="6" t="s">
        <v>187</v>
      </c>
      <c r="B123" s="6" t="s">
        <v>194</v>
      </c>
      <c r="C123" s="11">
        <v>99.904218</v>
      </c>
      <c r="D123" s="11">
        <v>12.6</v>
      </c>
      <c r="E123" s="12">
        <f>C123*'Reality Constants'!$B$2</f>
        <v>0</v>
      </c>
      <c r="F123" s="12">
        <f>E123 * ('Reality Constants'!$B$3 * 2)</f>
        <v>0</v>
      </c>
      <c r="G123" s="12">
        <f>F123 / 'Reality Constants'!$B$4</f>
        <v>620.8307616</v>
      </c>
      <c r="H123" s="12">
        <f>F123 / 'Reality Constants'!$B$5</f>
        <v>0</v>
      </c>
      <c r="I123" s="13">
        <f t="array" ref="I123">IFERROR(INDEX('Price Matrix'!A:E, MATCH(B123, 'Price Matrix'!B:B, 0), 5),"")</f>
        <v>15500</v>
      </c>
      <c r="J123" s="12">
        <f t="shared" si="1"/>
        <v>0</v>
      </c>
      <c r="K123" s="12">
        <f>E123*('Reality Constants'!$B$3 * 'Reality Constants'!$B$3)*'Reality Constants'!$B$8</f>
        <v>0</v>
      </c>
    </row>
    <row r="124" ht="22.5" customHeight="1">
      <c r="A124" s="6" t="s">
        <v>179</v>
      </c>
      <c r="B124" s="6" t="s">
        <v>195</v>
      </c>
      <c r="C124" s="11">
        <v>99.907473</v>
      </c>
      <c r="D124" s="11">
        <v>9.63</v>
      </c>
      <c r="E124" s="12">
        <f>C124*'Reality Constants'!$B$2</f>
        <v>0</v>
      </c>
      <c r="F124" s="12">
        <f>E124 * ('Reality Constants'!$B$3 * 2)</f>
        <v>0</v>
      </c>
      <c r="G124" s="12">
        <f>F124 / 'Reality Constants'!$B$4</f>
        <v>620.850989</v>
      </c>
      <c r="H124" s="12">
        <f>F124 / 'Reality Constants'!$B$5</f>
        <v>0</v>
      </c>
      <c r="I124" s="13">
        <f t="array" ref="I124">IFERROR(INDEX('Price Matrix'!A:E, MATCH(B124, 'Price Matrix'!B:B, 0), 5),"")</f>
        <v>38</v>
      </c>
      <c r="J124" s="12">
        <f t="shared" si="1"/>
        <v>0</v>
      </c>
      <c r="K124" s="12">
        <f>E124*('Reality Constants'!$B$3 * 'Reality Constants'!$B$3)*'Reality Constants'!$B$8</f>
        <v>0</v>
      </c>
    </row>
    <row r="125" ht="22.5" customHeight="1">
      <c r="A125" s="6" t="s">
        <v>187</v>
      </c>
      <c r="B125" s="6" t="s">
        <v>196</v>
      </c>
      <c r="C125" s="11">
        <v>100.905581</v>
      </c>
      <c r="D125" s="11">
        <v>17.0</v>
      </c>
      <c r="E125" s="12">
        <f>C125*'Reality Constants'!$B$2</f>
        <v>0</v>
      </c>
      <c r="F125" s="12">
        <f>E125 * ('Reality Constants'!$B$3 * 2)</f>
        <v>0</v>
      </c>
      <c r="G125" s="12">
        <f>F125 / 'Reality Constants'!$B$4</f>
        <v>627.0534913</v>
      </c>
      <c r="H125" s="12">
        <f>F125 / 'Reality Constants'!$B$5</f>
        <v>0</v>
      </c>
      <c r="I125" s="13">
        <f t="array" ref="I125">IFERROR(INDEX('Price Matrix'!A:E, MATCH(B125, 'Price Matrix'!B:B, 0), 5),"")</f>
        <v>15500</v>
      </c>
      <c r="J125" s="12">
        <f t="shared" si="1"/>
        <v>0</v>
      </c>
      <c r="K125" s="12">
        <f>E125*('Reality Constants'!$B$3 * 'Reality Constants'!$B$3)*'Reality Constants'!$B$8</f>
        <v>0</v>
      </c>
    </row>
    <row r="126" ht="22.5" customHeight="1">
      <c r="A126" s="6" t="s">
        <v>187</v>
      </c>
      <c r="B126" s="6" t="s">
        <v>197</v>
      </c>
      <c r="C126" s="11">
        <v>101.904348</v>
      </c>
      <c r="D126" s="11">
        <v>31.6</v>
      </c>
      <c r="E126" s="12">
        <f>C126*'Reality Constants'!$B$2</f>
        <v>0</v>
      </c>
      <c r="F126" s="12">
        <f>E126 * ('Reality Constants'!$B$3 * 2)</f>
        <v>0</v>
      </c>
      <c r="G126" s="12">
        <f>F126 / 'Reality Constants'!$B$4</f>
        <v>633.2600889</v>
      </c>
      <c r="H126" s="12">
        <f>F126 / 'Reality Constants'!$B$5</f>
        <v>0</v>
      </c>
      <c r="I126" s="13">
        <f t="array" ref="I126">IFERROR(INDEX('Price Matrix'!A:E, MATCH(B126, 'Price Matrix'!B:B, 0), 5),"")</f>
        <v>15500</v>
      </c>
      <c r="J126" s="12">
        <f t="shared" si="1"/>
        <v>0</v>
      </c>
      <c r="K126" s="12">
        <f>E126*('Reality Constants'!$B$3 * 'Reality Constants'!$B$3)*'Reality Constants'!$B$8</f>
        <v>0</v>
      </c>
    </row>
    <row r="127" ht="22.5" customHeight="1">
      <c r="A127" s="6" t="s">
        <v>198</v>
      </c>
      <c r="B127" s="6" t="s">
        <v>199</v>
      </c>
      <c r="C127" s="11">
        <v>101.905609</v>
      </c>
      <c r="D127" s="11">
        <v>1.02</v>
      </c>
      <c r="E127" s="12">
        <f>C127*'Reality Constants'!$B$2</f>
        <v>0</v>
      </c>
      <c r="F127" s="12">
        <f>E127 * ('Reality Constants'!$B$3 * 2)</f>
        <v>0</v>
      </c>
      <c r="G127" s="12">
        <f>F127 / 'Reality Constants'!$B$4</f>
        <v>633.2679251</v>
      </c>
      <c r="H127" s="12">
        <f>F127 / 'Reality Constants'!$B$5</f>
        <v>0</v>
      </c>
      <c r="I127" s="13">
        <f t="array" ref="I127">IFERROR(INDEX('Price Matrix'!A:E, MATCH(B127, 'Price Matrix'!B:B, 0), 5),"")</f>
        <v>36805</v>
      </c>
      <c r="J127" s="12">
        <f t="shared" si="1"/>
        <v>0</v>
      </c>
      <c r="K127" s="12">
        <f>E127*('Reality Constants'!$B$3 * 'Reality Constants'!$B$3)*'Reality Constants'!$B$8</f>
        <v>0</v>
      </c>
    </row>
    <row r="128" ht="22.5" customHeight="1">
      <c r="A128" s="6" t="s">
        <v>200</v>
      </c>
      <c r="B128" s="6" t="s">
        <v>201</v>
      </c>
      <c r="C128" s="11">
        <v>102.905503</v>
      </c>
      <c r="D128" s="11">
        <v>100.0</v>
      </c>
      <c r="E128" s="12">
        <f>C128*'Reality Constants'!$B$2</f>
        <v>0</v>
      </c>
      <c r="F128" s="12">
        <f>E128 * ('Reality Constants'!$B$3 * 2)</f>
        <v>0</v>
      </c>
      <c r="G128" s="12">
        <f>F128 / 'Reality Constants'!$B$4</f>
        <v>639.4815261</v>
      </c>
      <c r="H128" s="12">
        <f>F128 / 'Reality Constants'!$B$5</f>
        <v>0</v>
      </c>
      <c r="I128" s="13">
        <f t="array" ref="I128">IFERROR(INDEX('Price Matrix'!A:E, MATCH(B128, 'Price Matrix'!B:B, 0), 5),"")</f>
        <v>76840</v>
      </c>
      <c r="J128" s="12">
        <f t="shared" si="1"/>
        <v>0</v>
      </c>
      <c r="K128" s="12">
        <f>E128*('Reality Constants'!$B$3 * 'Reality Constants'!$B$3)*'Reality Constants'!$B$8</f>
        <v>0</v>
      </c>
    </row>
    <row r="129" ht="22.5" customHeight="1">
      <c r="A129" s="6" t="s">
        <v>198</v>
      </c>
      <c r="B129" s="6" t="s">
        <v>202</v>
      </c>
      <c r="C129" s="11">
        <v>103.904026</v>
      </c>
      <c r="D129" s="11">
        <v>11.14</v>
      </c>
      <c r="E129" s="12">
        <f>C129*'Reality Constants'!$B$2</f>
        <v>0</v>
      </c>
      <c r="F129" s="12">
        <f>E129 * ('Reality Constants'!$B$3 * 2)</f>
        <v>0</v>
      </c>
      <c r="G129" s="12">
        <f>F129 / 'Reality Constants'!$B$4</f>
        <v>645.6866074</v>
      </c>
      <c r="H129" s="12">
        <f>F129 / 'Reality Constants'!$B$5</f>
        <v>0</v>
      </c>
      <c r="I129" s="13">
        <f t="array" ref="I129">IFERROR(INDEX('Price Matrix'!A:E, MATCH(B129, 'Price Matrix'!B:B, 0), 5),"")</f>
        <v>36805</v>
      </c>
      <c r="J129" s="12">
        <f t="shared" si="1"/>
        <v>0</v>
      </c>
      <c r="K129" s="12">
        <f>E129*('Reality Constants'!$B$3 * 'Reality Constants'!$B$3)*'Reality Constants'!$B$8</f>
        <v>0</v>
      </c>
    </row>
    <row r="130" ht="22.5" customHeight="1">
      <c r="A130" s="6" t="s">
        <v>187</v>
      </c>
      <c r="B130" s="6" t="s">
        <v>203</v>
      </c>
      <c r="C130" s="11">
        <v>103.905422</v>
      </c>
      <c r="D130" s="11">
        <v>18.7</v>
      </c>
      <c r="E130" s="12">
        <f>C130*'Reality Constants'!$B$2</f>
        <v>0</v>
      </c>
      <c r="F130" s="12">
        <f>E130 * ('Reality Constants'!$B$3 * 2)</f>
        <v>0</v>
      </c>
      <c r="G130" s="12">
        <f>F130 / 'Reality Constants'!$B$4</f>
        <v>645.6952826</v>
      </c>
      <c r="H130" s="12">
        <f>F130 / 'Reality Constants'!$B$5</f>
        <v>0</v>
      </c>
      <c r="I130" s="13">
        <f t="array" ref="I130">IFERROR(INDEX('Price Matrix'!A:E, MATCH(B130, 'Price Matrix'!B:B, 0), 5),"")</f>
        <v>15500</v>
      </c>
      <c r="J130" s="12">
        <f t="shared" si="1"/>
        <v>0</v>
      </c>
      <c r="K130" s="12">
        <f>E130*('Reality Constants'!$B$3 * 'Reality Constants'!$B$3)*'Reality Constants'!$B$8</f>
        <v>0</v>
      </c>
    </row>
    <row r="131" ht="22.5" customHeight="1">
      <c r="A131" s="6" t="s">
        <v>198</v>
      </c>
      <c r="B131" s="6" t="s">
        <v>204</v>
      </c>
      <c r="C131" s="11">
        <v>104.905075</v>
      </c>
      <c r="D131" s="11">
        <v>22.33</v>
      </c>
      <c r="E131" s="12">
        <f>C131*'Reality Constants'!$B$2</f>
        <v>0</v>
      </c>
      <c r="F131" s="12">
        <f>E131 * ('Reality Constants'!$B$3 * 2)</f>
        <v>0</v>
      </c>
      <c r="G131" s="12">
        <f>F131 / 'Reality Constants'!$B$4</f>
        <v>651.907386</v>
      </c>
      <c r="H131" s="12">
        <f>F131 / 'Reality Constants'!$B$5</f>
        <v>0</v>
      </c>
      <c r="I131" s="13">
        <f t="array" ref="I131">IFERROR(INDEX('Price Matrix'!A:E, MATCH(B131, 'Price Matrix'!B:B, 0), 5),"")</f>
        <v>36805</v>
      </c>
      <c r="J131" s="12">
        <f t="shared" si="1"/>
        <v>0</v>
      </c>
      <c r="K131" s="12">
        <f>E131*('Reality Constants'!$B$3 * 'Reality Constants'!$B$3)*'Reality Constants'!$B$8</f>
        <v>0</v>
      </c>
    </row>
    <row r="132" ht="22.5" customHeight="1">
      <c r="A132" s="6" t="s">
        <v>198</v>
      </c>
      <c r="B132" s="6" t="s">
        <v>205</v>
      </c>
      <c r="C132" s="11">
        <v>105.903475</v>
      </c>
      <c r="D132" s="11">
        <v>27.33</v>
      </c>
      <c r="E132" s="12">
        <f>C132*'Reality Constants'!$B$2</f>
        <v>0</v>
      </c>
      <c r="F132" s="12">
        <f>E132 * ('Reality Constants'!$B$3 * 2)</f>
        <v>0</v>
      </c>
      <c r="G132" s="12">
        <f>F132 / 'Reality Constants'!$B$4</f>
        <v>658.1117029</v>
      </c>
      <c r="H132" s="12">
        <f>F132 / 'Reality Constants'!$B$5</f>
        <v>0</v>
      </c>
      <c r="I132" s="13">
        <f t="array" ref="I132">IFERROR(INDEX('Price Matrix'!A:E, MATCH(B132, 'Price Matrix'!B:B, 0), 5),"")</f>
        <v>36805</v>
      </c>
      <c r="J132" s="12">
        <f t="shared" si="1"/>
        <v>0</v>
      </c>
      <c r="K132" s="12">
        <f>E132*('Reality Constants'!$B$3 * 'Reality Constants'!$B$3)*'Reality Constants'!$B$8</f>
        <v>0</v>
      </c>
    </row>
    <row r="133" ht="22.5" customHeight="1">
      <c r="A133" s="6" t="s">
        <v>206</v>
      </c>
      <c r="B133" s="6" t="s">
        <v>207</v>
      </c>
      <c r="C133" s="11">
        <v>105.906461</v>
      </c>
      <c r="D133" s="11">
        <v>1.25</v>
      </c>
      <c r="E133" s="12">
        <f>C133*'Reality Constants'!$B$2</f>
        <v>0</v>
      </c>
      <c r="F133" s="12">
        <f>E133 * ('Reality Constants'!$B$3 * 2)</f>
        <v>0</v>
      </c>
      <c r="G133" s="12">
        <f>F133 / 'Reality Constants'!$B$4</f>
        <v>658.1302587</v>
      </c>
      <c r="H133" s="12">
        <f>F133 / 'Reality Constants'!$B$5</f>
        <v>0</v>
      </c>
      <c r="I133" s="13">
        <f t="array" ref="I133">IFERROR(INDEX('Price Matrix'!A:E, MATCH(B133, 'Price Matrix'!B:B, 0), 5),"")</f>
        <v>4.5</v>
      </c>
      <c r="J133" s="12">
        <f t="shared" si="1"/>
        <v>0</v>
      </c>
      <c r="K133" s="12">
        <f>E133*('Reality Constants'!$B$3 * 'Reality Constants'!$B$3)*'Reality Constants'!$B$8</f>
        <v>0</v>
      </c>
    </row>
    <row r="134" ht="22.5" customHeight="1">
      <c r="A134" s="6" t="s">
        <v>208</v>
      </c>
      <c r="B134" s="6" t="s">
        <v>209</v>
      </c>
      <c r="C134" s="11">
        <v>106.905095</v>
      </c>
      <c r="D134" s="11">
        <v>51.84</v>
      </c>
      <c r="E134" s="12">
        <f>C134*'Reality Constants'!$B$2</f>
        <v>0</v>
      </c>
      <c r="F134" s="12">
        <f>E134 * ('Reality Constants'!$B$3 * 2)</f>
        <v>0</v>
      </c>
      <c r="G134" s="12">
        <f>F134 / 'Reality Constants'!$B$4</f>
        <v>664.3360298</v>
      </c>
      <c r="H134" s="12">
        <f>F134 / 'Reality Constants'!$B$5</f>
        <v>0</v>
      </c>
      <c r="I134" s="13">
        <f t="array" ref="I134">IFERROR(INDEX('Price Matrix'!A:E, MATCH(B134, 'Price Matrix'!B:B, 0), 5),"")</f>
        <v>1210</v>
      </c>
      <c r="J134" s="12">
        <f t="shared" si="1"/>
        <v>0</v>
      </c>
      <c r="K134" s="12">
        <f>E134*('Reality Constants'!$B$3 * 'Reality Constants'!$B$3)*'Reality Constants'!$B$8</f>
        <v>0</v>
      </c>
    </row>
    <row r="135" ht="22.5" customHeight="1">
      <c r="A135" s="6" t="s">
        <v>198</v>
      </c>
      <c r="B135" s="6" t="s">
        <v>210</v>
      </c>
      <c r="C135" s="11">
        <v>107.903894</v>
      </c>
      <c r="D135" s="11">
        <v>26.46</v>
      </c>
      <c r="E135" s="12">
        <f>C135*'Reality Constants'!$B$2</f>
        <v>0</v>
      </c>
      <c r="F135" s="12">
        <f>E135 * ('Reality Constants'!$B$3 * 2)</f>
        <v>0</v>
      </c>
      <c r="G135" s="12">
        <f>F135 / 'Reality Constants'!$B$4</f>
        <v>670.5428262</v>
      </c>
      <c r="H135" s="12">
        <f>F135 / 'Reality Constants'!$B$5</f>
        <v>0</v>
      </c>
      <c r="I135" s="13">
        <f t="array" ref="I135">IFERROR(INDEX('Price Matrix'!A:E, MATCH(B135, 'Price Matrix'!B:B, 0), 5),"")</f>
        <v>36805</v>
      </c>
      <c r="J135" s="12">
        <f t="shared" si="1"/>
        <v>0</v>
      </c>
      <c r="K135" s="12">
        <f>E135*('Reality Constants'!$B$3 * 'Reality Constants'!$B$3)*'Reality Constants'!$B$8</f>
        <v>0</v>
      </c>
    </row>
    <row r="136" ht="22.5" customHeight="1">
      <c r="A136" s="6" t="s">
        <v>206</v>
      </c>
      <c r="B136" s="6" t="s">
        <v>211</v>
      </c>
      <c r="C136" s="11">
        <v>107.904186</v>
      </c>
      <c r="D136" s="11">
        <v>0.89</v>
      </c>
      <c r="E136" s="12">
        <f>C136*'Reality Constants'!$B$2</f>
        <v>0</v>
      </c>
      <c r="F136" s="12">
        <f>E136 * ('Reality Constants'!$B$3 * 2)</f>
        <v>0</v>
      </c>
      <c r="G136" s="12">
        <f>F136 / 'Reality Constants'!$B$4</f>
        <v>670.5446408</v>
      </c>
      <c r="H136" s="12">
        <f>F136 / 'Reality Constants'!$B$5</f>
        <v>0</v>
      </c>
      <c r="I136" s="13">
        <f t="array" ref="I136">IFERROR(INDEX('Price Matrix'!A:E, MATCH(B136, 'Price Matrix'!B:B, 0), 5),"")</f>
        <v>4.5</v>
      </c>
      <c r="J136" s="12">
        <f t="shared" si="1"/>
        <v>0</v>
      </c>
      <c r="K136" s="12">
        <f>E136*('Reality Constants'!$B$3 * 'Reality Constants'!$B$3)*'Reality Constants'!$B$8</f>
        <v>0</v>
      </c>
    </row>
    <row r="137" ht="22.5" customHeight="1">
      <c r="A137" s="6" t="s">
        <v>208</v>
      </c>
      <c r="B137" s="6" t="s">
        <v>212</v>
      </c>
      <c r="C137" s="11">
        <v>108.904754</v>
      </c>
      <c r="D137" s="11">
        <v>48.16</v>
      </c>
      <c r="E137" s="12">
        <f>C137*'Reality Constants'!$B$2</f>
        <v>0</v>
      </c>
      <c r="F137" s="12">
        <f>E137 * ('Reality Constants'!$B$3 * 2)</f>
        <v>0</v>
      </c>
      <c r="G137" s="12">
        <f>F137 / 'Reality Constants'!$B$4</f>
        <v>676.7624302</v>
      </c>
      <c r="H137" s="12">
        <f>F137 / 'Reality Constants'!$B$5</f>
        <v>0</v>
      </c>
      <c r="I137" s="13">
        <f t="array" ref="I137">IFERROR(INDEX('Price Matrix'!A:E, MATCH(B137, 'Price Matrix'!B:B, 0), 5),"")</f>
        <v>1210</v>
      </c>
      <c r="J137" s="12">
        <f t="shared" si="1"/>
        <v>0</v>
      </c>
      <c r="K137" s="12">
        <f>E137*('Reality Constants'!$B$3 * 'Reality Constants'!$B$3)*'Reality Constants'!$B$8</f>
        <v>0</v>
      </c>
    </row>
    <row r="138" ht="22.5" customHeight="1">
      <c r="A138" s="6" t="s">
        <v>206</v>
      </c>
      <c r="B138" s="6" t="s">
        <v>213</v>
      </c>
      <c r="C138" s="11">
        <v>109.903007</v>
      </c>
      <c r="D138" s="11">
        <v>12.49</v>
      </c>
      <c r="E138" s="12">
        <f>C138*'Reality Constants'!$B$2</f>
        <v>0</v>
      </c>
      <c r="F138" s="12">
        <f>E138 * ('Reality Constants'!$B$3 * 2)</f>
        <v>0</v>
      </c>
      <c r="G138" s="12">
        <f>F138 / 'Reality Constants'!$B$4</f>
        <v>682.9658337</v>
      </c>
      <c r="H138" s="12">
        <f>F138 / 'Reality Constants'!$B$5</f>
        <v>0</v>
      </c>
      <c r="I138" s="13">
        <f t="array" ref="I138">IFERROR(INDEX('Price Matrix'!A:E, MATCH(B138, 'Price Matrix'!B:B, 0), 5),"")</f>
        <v>4.5</v>
      </c>
      <c r="J138" s="12">
        <f t="shared" si="1"/>
        <v>0</v>
      </c>
      <c r="K138" s="12">
        <f>E138*('Reality Constants'!$B$3 * 'Reality Constants'!$B$3)*'Reality Constants'!$B$8</f>
        <v>0</v>
      </c>
    </row>
    <row r="139" ht="22.5" customHeight="1">
      <c r="A139" s="6" t="s">
        <v>198</v>
      </c>
      <c r="B139" s="6" t="s">
        <v>214</v>
      </c>
      <c r="C139" s="11">
        <v>109.905169</v>
      </c>
      <c r="D139" s="11">
        <v>11.72</v>
      </c>
      <c r="E139" s="12">
        <f>C139*'Reality Constants'!$B$2</f>
        <v>0</v>
      </c>
      <c r="F139" s="12">
        <f>E139 * ('Reality Constants'!$B$3 * 2)</f>
        <v>0</v>
      </c>
      <c r="G139" s="12">
        <f>F139 / 'Reality Constants'!$B$4</f>
        <v>682.9792689</v>
      </c>
      <c r="H139" s="12">
        <f>F139 / 'Reality Constants'!$B$5</f>
        <v>0</v>
      </c>
      <c r="I139" s="13">
        <f t="array" ref="I139">IFERROR(INDEX('Price Matrix'!A:E, MATCH(B139, 'Price Matrix'!B:B, 0), 5),"")</f>
        <v>36805</v>
      </c>
      <c r="J139" s="12">
        <f t="shared" si="1"/>
        <v>0</v>
      </c>
      <c r="K139" s="12">
        <f>E139*('Reality Constants'!$B$3 * 'Reality Constants'!$B$3)*'Reality Constants'!$B$8</f>
        <v>0</v>
      </c>
    </row>
    <row r="140" ht="22.5" customHeight="1">
      <c r="A140" s="6" t="s">
        <v>206</v>
      </c>
      <c r="B140" s="6" t="s">
        <v>215</v>
      </c>
      <c r="C140" s="11">
        <v>110.904182</v>
      </c>
      <c r="D140" s="11">
        <v>12.8</v>
      </c>
      <c r="E140" s="12">
        <f>C140*'Reality Constants'!$B$2</f>
        <v>0</v>
      </c>
      <c r="F140" s="12">
        <f>E140 * ('Reality Constants'!$B$3 * 2)</f>
        <v>0</v>
      </c>
      <c r="G140" s="12">
        <f>F140 / 'Reality Constants'!$B$4</f>
        <v>689.1873952</v>
      </c>
      <c r="H140" s="12">
        <f>F140 / 'Reality Constants'!$B$5</f>
        <v>0</v>
      </c>
      <c r="I140" s="13">
        <f t="array" ref="I140">IFERROR(INDEX('Price Matrix'!A:E, MATCH(B140, 'Price Matrix'!B:B, 0), 5),"")</f>
        <v>4.5</v>
      </c>
      <c r="J140" s="12">
        <f t="shared" si="1"/>
        <v>0</v>
      </c>
      <c r="K140" s="12">
        <f>E140*('Reality Constants'!$B$3 * 'Reality Constants'!$B$3)*'Reality Constants'!$B$8</f>
        <v>0</v>
      </c>
    </row>
    <row r="141" ht="22.5" customHeight="1">
      <c r="A141" s="6" t="s">
        <v>206</v>
      </c>
      <c r="B141" s="6" t="s">
        <v>216</v>
      </c>
      <c r="C141" s="11">
        <v>111.902761</v>
      </c>
      <c r="D141" s="11">
        <v>24.13</v>
      </c>
      <c r="E141" s="12">
        <f>C141*'Reality Constants'!$B$2</f>
        <v>0</v>
      </c>
      <c r="F141" s="12">
        <f>E141 * ('Reality Constants'!$B$3 * 2)</f>
        <v>0</v>
      </c>
      <c r="G141" s="12">
        <f>F141 / 'Reality Constants'!$B$4</f>
        <v>695.3928245</v>
      </c>
      <c r="H141" s="12">
        <f>F141 / 'Reality Constants'!$B$5</f>
        <v>0</v>
      </c>
      <c r="I141" s="13">
        <f t="array" ref="I141">IFERROR(INDEX('Price Matrix'!A:E, MATCH(B141, 'Price Matrix'!B:B, 0), 5),"")</f>
        <v>4.5</v>
      </c>
      <c r="J141" s="12">
        <f t="shared" si="1"/>
        <v>0</v>
      </c>
      <c r="K141" s="12">
        <f>E141*('Reality Constants'!$B$3 * 'Reality Constants'!$B$3)*'Reality Constants'!$B$8</f>
        <v>0</v>
      </c>
    </row>
    <row r="142" ht="22.5" customHeight="1">
      <c r="A142" s="6" t="s">
        <v>217</v>
      </c>
      <c r="B142" s="6" t="s">
        <v>218</v>
      </c>
      <c r="C142" s="11">
        <v>111.904826</v>
      </c>
      <c r="D142" s="11">
        <v>0.97</v>
      </c>
      <c r="E142" s="12">
        <f>C142*'Reality Constants'!$B$2</f>
        <v>0</v>
      </c>
      <c r="F142" s="12">
        <f>E142 * ('Reality Constants'!$B$3 * 2)</f>
        <v>0</v>
      </c>
      <c r="G142" s="12">
        <f>F142 / 'Reality Constants'!$B$4</f>
        <v>695.4056569</v>
      </c>
      <c r="H142" s="12">
        <f>F142 / 'Reality Constants'!$B$5</f>
        <v>0</v>
      </c>
      <c r="I142" s="13">
        <f t="array" ref="I142">IFERROR(INDEX('Price Matrix'!A:E, MATCH(B142, 'Price Matrix'!B:B, 0), 5),"")</f>
        <v>33.77</v>
      </c>
      <c r="J142" s="12">
        <f t="shared" si="1"/>
        <v>0</v>
      </c>
      <c r="K142" s="12">
        <f>E142*('Reality Constants'!$B$3 * 'Reality Constants'!$B$3)*'Reality Constants'!$B$8</f>
        <v>0</v>
      </c>
    </row>
    <row r="143" ht="22.5" customHeight="1">
      <c r="A143" s="6" t="s">
        <v>219</v>
      </c>
      <c r="B143" s="6" t="s">
        <v>220</v>
      </c>
      <c r="C143" s="11">
        <v>112.904056</v>
      </c>
      <c r="D143" s="11">
        <v>4.3</v>
      </c>
      <c r="E143" s="12">
        <f>C143*'Reality Constants'!$B$2</f>
        <v>0</v>
      </c>
      <c r="F143" s="12">
        <f>E143 * ('Reality Constants'!$B$3 * 2)</f>
        <v>0</v>
      </c>
      <c r="G143" s="12">
        <f>F143 / 'Reality Constants'!$B$4</f>
        <v>701.6151317</v>
      </c>
      <c r="H143" s="12">
        <f>F143 / 'Reality Constants'!$B$5</f>
        <v>0</v>
      </c>
      <c r="I143" s="13">
        <f t="array" ref="I143">IFERROR(INDEX('Price Matrix'!A:E, MATCH(B143, 'Price Matrix'!B:B, 0), 5),"")</f>
        <v>322.6</v>
      </c>
      <c r="J143" s="12">
        <f t="shared" si="1"/>
        <v>0</v>
      </c>
      <c r="K143" s="12">
        <f>E143*('Reality Constants'!$B$3 * 'Reality Constants'!$B$3)*'Reality Constants'!$B$8</f>
        <v>0</v>
      </c>
    </row>
    <row r="144" ht="22.5" customHeight="1">
      <c r="A144" s="6" t="s">
        <v>206</v>
      </c>
      <c r="B144" s="6" t="s">
        <v>221</v>
      </c>
      <c r="C144" s="11">
        <v>112.904401</v>
      </c>
      <c r="D144" s="11">
        <v>12.22</v>
      </c>
      <c r="E144" s="12">
        <f>C144*'Reality Constants'!$B$2</f>
        <v>0</v>
      </c>
      <c r="F144" s="12">
        <f>E144 * ('Reality Constants'!$B$3 * 2)</f>
        <v>0</v>
      </c>
      <c r="G144" s="12">
        <f>F144 / 'Reality Constants'!$B$4</f>
        <v>701.6172756</v>
      </c>
      <c r="H144" s="12">
        <f>F144 / 'Reality Constants'!$B$5</f>
        <v>0</v>
      </c>
      <c r="I144" s="13">
        <f t="array" ref="I144">IFERROR(INDEX('Price Matrix'!A:E, MATCH(B144, 'Price Matrix'!B:B, 0), 5),"")</f>
        <v>4.5</v>
      </c>
      <c r="J144" s="12">
        <f t="shared" si="1"/>
        <v>0</v>
      </c>
      <c r="K144" s="12">
        <f>E144*('Reality Constants'!$B$3 * 'Reality Constants'!$B$3)*'Reality Constants'!$B$8</f>
        <v>0</v>
      </c>
    </row>
    <row r="145" ht="22.5" customHeight="1">
      <c r="A145" s="6" t="s">
        <v>217</v>
      </c>
      <c r="B145" s="6" t="s">
        <v>222</v>
      </c>
      <c r="C145" s="11">
        <v>113.902784</v>
      </c>
      <c r="D145" s="11">
        <v>0.65</v>
      </c>
      <c r="E145" s="12">
        <f>C145*'Reality Constants'!$B$2</f>
        <v>0</v>
      </c>
      <c r="F145" s="12">
        <f>E145 * ('Reality Constants'!$B$3 * 2)</f>
        <v>0</v>
      </c>
      <c r="G145" s="12">
        <f>F145 / 'Reality Constants'!$B$4</f>
        <v>707.8214869</v>
      </c>
      <c r="H145" s="12">
        <f>F145 / 'Reality Constants'!$B$5</f>
        <v>0</v>
      </c>
      <c r="I145" s="13">
        <f t="array" ref="I145">IFERROR(INDEX('Price Matrix'!A:E, MATCH(B145, 'Price Matrix'!B:B, 0), 5),"")</f>
        <v>33.77</v>
      </c>
      <c r="J145" s="12">
        <f t="shared" si="1"/>
        <v>0</v>
      </c>
      <c r="K145" s="12">
        <f>E145*('Reality Constants'!$B$3 * 'Reality Constants'!$B$3)*'Reality Constants'!$B$8</f>
        <v>0</v>
      </c>
    </row>
    <row r="146" ht="22.5" customHeight="1">
      <c r="A146" s="6" t="s">
        <v>206</v>
      </c>
      <c r="B146" s="6" t="s">
        <v>223</v>
      </c>
      <c r="C146" s="11">
        <v>113.903361</v>
      </c>
      <c r="D146" s="11">
        <v>28.73</v>
      </c>
      <c r="E146" s="12">
        <f>C146*'Reality Constants'!$B$2</f>
        <v>0</v>
      </c>
      <c r="F146" s="12">
        <f>E146 * ('Reality Constants'!$B$3 * 2)</f>
        <v>0</v>
      </c>
      <c r="G146" s="12">
        <f>F146 / 'Reality Constants'!$B$4</f>
        <v>707.8250725</v>
      </c>
      <c r="H146" s="12">
        <f>F146 / 'Reality Constants'!$B$5</f>
        <v>0</v>
      </c>
      <c r="I146" s="13">
        <f t="array" ref="I146">IFERROR(INDEX('Price Matrix'!A:E, MATCH(B146, 'Price Matrix'!B:B, 0), 5),"")</f>
        <v>4.5</v>
      </c>
      <c r="J146" s="12">
        <f t="shared" si="1"/>
        <v>0</v>
      </c>
      <c r="K146" s="12">
        <f>E146*('Reality Constants'!$B$3 * 'Reality Constants'!$B$3)*'Reality Constants'!$B$8</f>
        <v>0</v>
      </c>
    </row>
    <row r="147" ht="22.5" customHeight="1">
      <c r="A147" s="6" t="s">
        <v>217</v>
      </c>
      <c r="B147" s="6" t="s">
        <v>224</v>
      </c>
      <c r="C147" s="11">
        <v>114.903348</v>
      </c>
      <c r="D147" s="11">
        <v>0.36</v>
      </c>
      <c r="E147" s="12">
        <f>C147*'Reality Constants'!$B$2</f>
        <v>0</v>
      </c>
      <c r="F147" s="12">
        <f>E147 * ('Reality Constants'!$B$3 * 2)</f>
        <v>0</v>
      </c>
      <c r="G147" s="12">
        <f>F147 / 'Reality Constants'!$B$4</f>
        <v>714.0392515</v>
      </c>
      <c r="H147" s="12">
        <f>F147 / 'Reality Constants'!$B$5</f>
        <v>0</v>
      </c>
      <c r="I147" s="13">
        <f t="array" ref="I147">IFERROR(INDEX('Price Matrix'!A:E, MATCH(B147, 'Price Matrix'!B:B, 0), 5),"")</f>
        <v>33.77</v>
      </c>
      <c r="J147" s="12">
        <f t="shared" si="1"/>
        <v>0</v>
      </c>
      <c r="K147" s="12">
        <f>E147*('Reality Constants'!$B$3 * 'Reality Constants'!$B$3)*'Reality Constants'!$B$8</f>
        <v>0</v>
      </c>
    </row>
    <row r="148" ht="22.5" customHeight="1">
      <c r="A148" s="6" t="s">
        <v>219</v>
      </c>
      <c r="B148" s="6" t="s">
        <v>225</v>
      </c>
      <c r="C148" s="11">
        <v>114.903875</v>
      </c>
      <c r="D148" s="11">
        <v>95.7</v>
      </c>
      <c r="E148" s="12">
        <f>C148*'Reality Constants'!$B$2</f>
        <v>0</v>
      </c>
      <c r="F148" s="12">
        <f>E148 * ('Reality Constants'!$B$3 * 2)</f>
        <v>0</v>
      </c>
      <c r="G148" s="12">
        <f>F148 / 'Reality Constants'!$B$4</f>
        <v>714.0425264</v>
      </c>
      <c r="H148" s="12">
        <f>F148 / 'Reality Constants'!$B$5</f>
        <v>0</v>
      </c>
      <c r="I148" s="13">
        <f t="array" ref="I148">IFERROR(INDEX('Price Matrix'!A:E, MATCH(B148, 'Price Matrix'!B:B, 0), 5),"")</f>
        <v>322.6</v>
      </c>
      <c r="J148" s="12">
        <f t="shared" si="1"/>
        <v>0</v>
      </c>
      <c r="K148" s="12">
        <f>E148*('Reality Constants'!$B$3 * 'Reality Constants'!$B$3)*'Reality Constants'!$B$8</f>
        <v>0</v>
      </c>
    </row>
    <row r="149" ht="22.5" customHeight="1">
      <c r="A149" s="6" t="s">
        <v>217</v>
      </c>
      <c r="B149" s="6" t="s">
        <v>226</v>
      </c>
      <c r="C149" s="11">
        <v>115.901744</v>
      </c>
      <c r="D149" s="11">
        <v>14.7</v>
      </c>
      <c r="E149" s="12">
        <f>C149*'Reality Constants'!$B$2</f>
        <v>0</v>
      </c>
      <c r="F149" s="12">
        <f>E149 * ('Reality Constants'!$B$3 * 2)</f>
        <v>0</v>
      </c>
      <c r="G149" s="12">
        <f>F149 / 'Reality Constants'!$B$4</f>
        <v>720.2435436</v>
      </c>
      <c r="H149" s="12">
        <f>F149 / 'Reality Constants'!$B$5</f>
        <v>0</v>
      </c>
      <c r="I149" s="13">
        <f t="array" ref="I149">IFERROR(INDEX('Price Matrix'!A:E, MATCH(B149, 'Price Matrix'!B:B, 0), 5),"")</f>
        <v>33.77</v>
      </c>
      <c r="J149" s="12">
        <f t="shared" si="1"/>
        <v>0</v>
      </c>
      <c r="K149" s="12">
        <f>E149*('Reality Constants'!$B$3 * 'Reality Constants'!$B$3)*'Reality Constants'!$B$8</f>
        <v>0</v>
      </c>
    </row>
    <row r="150" ht="22.5" customHeight="1">
      <c r="A150" s="6" t="s">
        <v>206</v>
      </c>
      <c r="B150" s="6" t="s">
        <v>227</v>
      </c>
      <c r="C150" s="11">
        <v>115.904758</v>
      </c>
      <c r="D150" s="11">
        <v>7.49</v>
      </c>
      <c r="E150" s="12">
        <f>C150*'Reality Constants'!$B$2</f>
        <v>0</v>
      </c>
      <c r="F150" s="12">
        <f>E150 * ('Reality Constants'!$B$3 * 2)</f>
        <v>0</v>
      </c>
      <c r="G150" s="12">
        <f>F150 / 'Reality Constants'!$B$4</f>
        <v>720.2622734</v>
      </c>
      <c r="H150" s="12">
        <f>F150 / 'Reality Constants'!$B$5</f>
        <v>0</v>
      </c>
      <c r="I150" s="13">
        <f t="array" ref="I150">IFERROR(INDEX('Price Matrix'!A:E, MATCH(B150, 'Price Matrix'!B:B, 0), 5),"")</f>
        <v>4.5</v>
      </c>
      <c r="J150" s="12">
        <f t="shared" si="1"/>
        <v>0</v>
      </c>
      <c r="K150" s="12">
        <f>E150*('Reality Constants'!$B$3 * 'Reality Constants'!$B$3)*'Reality Constants'!$B$8</f>
        <v>0</v>
      </c>
    </row>
    <row r="151" ht="22.5" customHeight="1">
      <c r="A151" s="6" t="s">
        <v>217</v>
      </c>
      <c r="B151" s="6" t="s">
        <v>228</v>
      </c>
      <c r="C151" s="11">
        <v>116.902954</v>
      </c>
      <c r="D151" s="11">
        <v>7.7</v>
      </c>
      <c r="E151" s="12">
        <f>C151*'Reality Constants'!$B$2</f>
        <v>0</v>
      </c>
      <c r="F151" s="12">
        <f>E151 * ('Reality Constants'!$B$3 * 2)</f>
        <v>0</v>
      </c>
      <c r="G151" s="12">
        <f>F151 / 'Reality Constants'!$B$4</f>
        <v>726.4653226</v>
      </c>
      <c r="H151" s="12">
        <f>F151 / 'Reality Constants'!$B$5</f>
        <v>0</v>
      </c>
      <c r="I151" s="13">
        <f t="array" ref="I151">IFERROR(INDEX('Price Matrix'!A:E, MATCH(B151, 'Price Matrix'!B:B, 0), 5),"")</f>
        <v>33.77</v>
      </c>
      <c r="J151" s="12">
        <f t="shared" si="1"/>
        <v>0</v>
      </c>
      <c r="K151" s="12">
        <f>E151*('Reality Constants'!$B$3 * 'Reality Constants'!$B$3)*'Reality Constants'!$B$8</f>
        <v>0</v>
      </c>
    </row>
    <row r="152" ht="22.5" customHeight="1">
      <c r="A152" s="6" t="s">
        <v>217</v>
      </c>
      <c r="B152" s="6" t="s">
        <v>229</v>
      </c>
      <c r="C152" s="11">
        <v>117.901607</v>
      </c>
      <c r="D152" s="11">
        <v>24.3</v>
      </c>
      <c r="E152" s="12">
        <f>C152*'Reality Constants'!$B$2</f>
        <v>0</v>
      </c>
      <c r="F152" s="12">
        <f>E152 * ('Reality Constants'!$B$3 * 2)</f>
        <v>0</v>
      </c>
      <c r="G152" s="12">
        <f>F152 / 'Reality Constants'!$B$4</f>
        <v>732.6712118</v>
      </c>
      <c r="H152" s="12">
        <f>F152 / 'Reality Constants'!$B$5</f>
        <v>0</v>
      </c>
      <c r="I152" s="13">
        <f t="array" ref="I152">IFERROR(INDEX('Price Matrix'!A:E, MATCH(B152, 'Price Matrix'!B:B, 0), 5),"")</f>
        <v>33.77</v>
      </c>
      <c r="J152" s="12">
        <f t="shared" si="1"/>
        <v>0</v>
      </c>
      <c r="K152" s="12">
        <f>E152*('Reality Constants'!$B$3 * 'Reality Constants'!$B$3)*'Reality Constants'!$B$8</f>
        <v>0</v>
      </c>
    </row>
    <row r="153" ht="22.5" customHeight="1">
      <c r="A153" s="6" t="s">
        <v>217</v>
      </c>
      <c r="B153" s="6" t="s">
        <v>230</v>
      </c>
      <c r="C153" s="11">
        <v>118.90331</v>
      </c>
      <c r="D153" s="11">
        <v>8.6</v>
      </c>
      <c r="E153" s="12">
        <f>C153*'Reality Constants'!$B$2</f>
        <v>0</v>
      </c>
      <c r="F153" s="12">
        <f>E153 * ('Reality Constants'!$B$3 * 2)</f>
        <v>0</v>
      </c>
      <c r="G153" s="12">
        <f>F153 / 'Reality Constants'!$B$4</f>
        <v>738.8960544</v>
      </c>
      <c r="H153" s="12">
        <f>F153 / 'Reality Constants'!$B$5</f>
        <v>0</v>
      </c>
      <c r="I153" s="13">
        <f t="array" ref="I153">IFERROR(INDEX('Price Matrix'!A:E, MATCH(B153, 'Price Matrix'!B:B, 0), 5),"")</f>
        <v>33.77</v>
      </c>
      <c r="J153" s="12">
        <f t="shared" si="1"/>
        <v>0</v>
      </c>
      <c r="K153" s="12">
        <f>E153*('Reality Constants'!$B$3 * 'Reality Constants'!$B$3)*'Reality Constants'!$B$8</f>
        <v>0</v>
      </c>
    </row>
    <row r="154" ht="22.5" customHeight="1">
      <c r="A154" s="6" t="s">
        <v>217</v>
      </c>
      <c r="B154" s="6" t="s">
        <v>231</v>
      </c>
      <c r="C154" s="11">
        <v>119.902199</v>
      </c>
      <c r="D154" s="11">
        <v>32.4</v>
      </c>
      <c r="E154" s="12">
        <f>C154*'Reality Constants'!$B$2</f>
        <v>0</v>
      </c>
      <c r="F154" s="12">
        <f>E154 * ('Reality Constants'!$B$3 * 2)</f>
        <v>0</v>
      </c>
      <c r="G154" s="12">
        <f>F154 / 'Reality Constants'!$B$4</f>
        <v>745.1034101</v>
      </c>
      <c r="H154" s="12">
        <f>F154 / 'Reality Constants'!$B$5</f>
        <v>0</v>
      </c>
      <c r="I154" s="13">
        <f t="array" ref="I154">IFERROR(INDEX('Price Matrix'!A:E, MATCH(B154, 'Price Matrix'!B:B, 0), 5),"")</f>
        <v>33.77</v>
      </c>
      <c r="J154" s="12">
        <f t="shared" si="1"/>
        <v>0</v>
      </c>
      <c r="K154" s="12">
        <f>E154*('Reality Constants'!$B$3 * 'Reality Constants'!$B$3)*'Reality Constants'!$B$8</f>
        <v>0</v>
      </c>
    </row>
    <row r="155" ht="22.5" customHeight="1">
      <c r="A155" s="6" t="s">
        <v>232</v>
      </c>
      <c r="B155" s="6" t="s">
        <v>233</v>
      </c>
      <c r="C155" s="11">
        <v>119.904021</v>
      </c>
      <c r="D155" s="11">
        <v>0.096</v>
      </c>
      <c r="E155" s="12">
        <f>C155*'Reality Constants'!$B$2</f>
        <v>0</v>
      </c>
      <c r="F155" s="12">
        <f>E155 * ('Reality Constants'!$B$3 * 2)</f>
        <v>0</v>
      </c>
      <c r="G155" s="12">
        <f>F155 / 'Reality Constants'!$B$4</f>
        <v>745.1147325</v>
      </c>
      <c r="H155" s="12">
        <f>F155 / 'Reality Constants'!$B$5</f>
        <v>0</v>
      </c>
      <c r="I155" s="13" t="str">
        <f t="array" ref="I155">IFERROR(INDEX('Price Matrix'!A:E, MATCH(B155, 'Price Matrix'!B:B, 0), 5),"")</f>
        <v/>
      </c>
      <c r="J155" s="12" t="str">
        <f t="shared" si="1"/>
        <v/>
      </c>
      <c r="K155" s="12">
        <f>E155*('Reality Constants'!$B$3 * 'Reality Constants'!$B$3)*'Reality Constants'!$B$8</f>
        <v>0</v>
      </c>
    </row>
    <row r="156" ht="22.5" customHeight="1">
      <c r="A156" s="6" t="s">
        <v>234</v>
      </c>
      <c r="B156" s="6" t="s">
        <v>235</v>
      </c>
      <c r="C156" s="11">
        <v>120.903824</v>
      </c>
      <c r="D156" s="11">
        <v>57.3</v>
      </c>
      <c r="E156" s="12">
        <f>C156*'Reality Constants'!$B$2</f>
        <v>0</v>
      </c>
      <c r="F156" s="12">
        <f>E156 * ('Reality Constants'!$B$3 * 2)</f>
        <v>0</v>
      </c>
      <c r="G156" s="12">
        <f>F156 / 'Reality Constants'!$B$4</f>
        <v>751.327768</v>
      </c>
      <c r="H156" s="12">
        <f>F156 / 'Reality Constants'!$B$5</f>
        <v>0</v>
      </c>
      <c r="I156" s="13">
        <f t="array" ref="I156">IFERROR(INDEX('Price Matrix'!A:E, MATCH(B156, 'Price Matrix'!B:B, 0), 5),"")</f>
        <v>11</v>
      </c>
      <c r="J156" s="12">
        <f t="shared" si="1"/>
        <v>0</v>
      </c>
      <c r="K156" s="12">
        <f>E156*('Reality Constants'!$B$3 * 'Reality Constants'!$B$3)*'Reality Constants'!$B$8</f>
        <v>0</v>
      </c>
    </row>
    <row r="157" ht="22.5" customHeight="1">
      <c r="A157" s="6" t="s">
        <v>232</v>
      </c>
      <c r="B157" s="6" t="s">
        <v>236</v>
      </c>
      <c r="C157" s="11">
        <v>121.903055</v>
      </c>
      <c r="D157" s="11">
        <v>2.6</v>
      </c>
      <c r="E157" s="12">
        <f>C157*'Reality Constants'!$B$2</f>
        <v>0</v>
      </c>
      <c r="F157" s="12">
        <f>E157 * ('Reality Constants'!$B$3 * 2)</f>
        <v>0</v>
      </c>
      <c r="G157" s="12">
        <f>F157 / 'Reality Constants'!$B$4</f>
        <v>757.537249</v>
      </c>
      <c r="H157" s="12">
        <f>F157 / 'Reality Constants'!$B$5</f>
        <v>0</v>
      </c>
      <c r="I157" s="13" t="str">
        <f t="array" ref="I157">IFERROR(INDEX('Price Matrix'!A:E, MATCH(B157, 'Price Matrix'!B:B, 0), 5),"")</f>
        <v/>
      </c>
      <c r="J157" s="12" t="str">
        <f t="shared" si="1"/>
        <v/>
      </c>
      <c r="K157" s="12">
        <f>E157*('Reality Constants'!$B$3 * 'Reality Constants'!$B$3)*'Reality Constants'!$B$8</f>
        <v>0</v>
      </c>
    </row>
    <row r="158" ht="22.5" customHeight="1">
      <c r="A158" s="6" t="s">
        <v>217</v>
      </c>
      <c r="B158" s="6" t="s">
        <v>237</v>
      </c>
      <c r="C158" s="11">
        <v>121.90344</v>
      </c>
      <c r="D158" s="11">
        <v>4.6</v>
      </c>
      <c r="E158" s="12">
        <f>C158*'Reality Constants'!$B$2</f>
        <v>0</v>
      </c>
      <c r="F158" s="12">
        <f>E158 * ('Reality Constants'!$B$3 * 2)</f>
        <v>0</v>
      </c>
      <c r="G158" s="12">
        <f>F158 / 'Reality Constants'!$B$4</f>
        <v>757.5396415</v>
      </c>
      <c r="H158" s="12">
        <f>F158 / 'Reality Constants'!$B$5</f>
        <v>0</v>
      </c>
      <c r="I158" s="13">
        <f t="array" ref="I158">IFERROR(INDEX('Price Matrix'!A:E, MATCH(B158, 'Price Matrix'!B:B, 0), 5),"")</f>
        <v>33.77</v>
      </c>
      <c r="J158" s="12">
        <f t="shared" si="1"/>
        <v>0</v>
      </c>
      <c r="K158" s="12">
        <f>E158*('Reality Constants'!$B$3 * 'Reality Constants'!$B$3)*'Reality Constants'!$B$8</f>
        <v>0</v>
      </c>
    </row>
    <row r="159" ht="22.5" customHeight="1">
      <c r="A159" s="6" t="s">
        <v>234</v>
      </c>
      <c r="B159" s="6" t="s">
        <v>238</v>
      </c>
      <c r="C159" s="11">
        <v>122.904222</v>
      </c>
      <c r="D159" s="11">
        <v>42.7</v>
      </c>
      <c r="E159" s="12">
        <f>C159*'Reality Constants'!$B$2</f>
        <v>0</v>
      </c>
      <c r="F159" s="12">
        <f>E159 * ('Reality Constants'!$B$3 * 2)</f>
        <v>0</v>
      </c>
      <c r="G159" s="12">
        <f>F159 / 'Reality Constants'!$B$4</f>
        <v>763.7587608</v>
      </c>
      <c r="H159" s="12">
        <f>F159 / 'Reality Constants'!$B$5</f>
        <v>0</v>
      </c>
      <c r="I159" s="13">
        <f t="array" ref="I159">IFERROR(INDEX('Price Matrix'!A:E, MATCH(B159, 'Price Matrix'!B:B, 0), 5),"")</f>
        <v>11</v>
      </c>
      <c r="J159" s="12">
        <f t="shared" si="1"/>
        <v>0</v>
      </c>
      <c r="K159" s="12">
        <f>E159*('Reality Constants'!$B$3 * 'Reality Constants'!$B$3)*'Reality Constants'!$B$8</f>
        <v>0</v>
      </c>
    </row>
    <row r="160" ht="22.5" customHeight="1">
      <c r="A160" s="6" t="s">
        <v>232</v>
      </c>
      <c r="B160" s="6" t="s">
        <v>239</v>
      </c>
      <c r="C160" s="11">
        <v>122.904278</v>
      </c>
      <c r="D160" s="11">
        <v>0.91</v>
      </c>
      <c r="E160" s="12">
        <f>C160*'Reality Constants'!$B$2</f>
        <v>0</v>
      </c>
      <c r="F160" s="12">
        <f>E160 * ('Reality Constants'!$B$3 * 2)</f>
        <v>0</v>
      </c>
      <c r="G160" s="12">
        <f>F160 / 'Reality Constants'!$B$4</f>
        <v>763.7591088</v>
      </c>
      <c r="H160" s="12">
        <f>F160 / 'Reality Constants'!$B$5</f>
        <v>0</v>
      </c>
      <c r="I160" s="13" t="str">
        <f t="array" ref="I160">IFERROR(INDEX('Price Matrix'!A:E, MATCH(B160, 'Price Matrix'!B:B, 0), 5),"")</f>
        <v/>
      </c>
      <c r="J160" s="12" t="str">
        <f t="shared" si="1"/>
        <v/>
      </c>
      <c r="K160" s="12">
        <f>E160*('Reality Constants'!$B$3 * 'Reality Constants'!$B$3)*'Reality Constants'!$B$8</f>
        <v>0</v>
      </c>
    </row>
    <row r="161" ht="22.5" customHeight="1">
      <c r="A161" s="6" t="s">
        <v>232</v>
      </c>
      <c r="B161" s="6" t="s">
        <v>240</v>
      </c>
      <c r="C161" s="11">
        <v>123.902825</v>
      </c>
      <c r="D161" s="11">
        <v>4.82</v>
      </c>
      <c r="E161" s="12">
        <f>C161*'Reality Constants'!$B$2</f>
        <v>0</v>
      </c>
      <c r="F161" s="12">
        <f>E161 * ('Reality Constants'!$B$3 * 2)</f>
        <v>0</v>
      </c>
      <c r="G161" s="12">
        <f>F161 / 'Reality Constants'!$B$4</f>
        <v>769.9643393</v>
      </c>
      <c r="H161" s="12">
        <f>F161 / 'Reality Constants'!$B$5</f>
        <v>0</v>
      </c>
      <c r="I161" s="13" t="str">
        <f t="array" ref="I161">IFERROR(INDEX('Price Matrix'!A:E, MATCH(B161, 'Price Matrix'!B:B, 0), 5),"")</f>
        <v/>
      </c>
      <c r="J161" s="12" t="str">
        <f t="shared" si="1"/>
        <v/>
      </c>
      <c r="K161" s="12">
        <f>E161*('Reality Constants'!$B$3 * 'Reality Constants'!$B$3)*'Reality Constants'!$B$8</f>
        <v>0</v>
      </c>
    </row>
    <row r="162" ht="22.5" customHeight="1">
      <c r="A162" s="6" t="s">
        <v>217</v>
      </c>
      <c r="B162" s="6" t="s">
        <v>241</v>
      </c>
      <c r="C162" s="11">
        <v>123.905271</v>
      </c>
      <c r="D162" s="11">
        <v>5.6</v>
      </c>
      <c r="E162" s="12">
        <f>C162*'Reality Constants'!$B$2</f>
        <v>0</v>
      </c>
      <c r="F162" s="12">
        <f>E162 * ('Reality Constants'!$B$3 * 2)</f>
        <v>0</v>
      </c>
      <c r="G162" s="12">
        <f>F162 / 'Reality Constants'!$B$4</f>
        <v>769.9795394</v>
      </c>
      <c r="H162" s="12">
        <f>F162 / 'Reality Constants'!$B$5</f>
        <v>0</v>
      </c>
      <c r="I162" s="13">
        <f t="array" ref="I162">IFERROR(INDEX('Price Matrix'!A:E, MATCH(B162, 'Price Matrix'!B:B, 0), 5),"")</f>
        <v>33.77</v>
      </c>
      <c r="J162" s="12">
        <f t="shared" si="1"/>
        <v>0</v>
      </c>
      <c r="K162" s="12">
        <f>E162*('Reality Constants'!$B$3 * 'Reality Constants'!$B$3)*'Reality Constants'!$B$8</f>
        <v>0</v>
      </c>
    </row>
    <row r="163" ht="22.5" customHeight="1">
      <c r="A163" s="6" t="s">
        <v>242</v>
      </c>
      <c r="B163" s="6" t="s">
        <v>243</v>
      </c>
      <c r="C163" s="11">
        <v>123.905894</v>
      </c>
      <c r="D163" s="11">
        <v>0.1</v>
      </c>
      <c r="E163" s="12">
        <f>C163*'Reality Constants'!$B$2</f>
        <v>0</v>
      </c>
      <c r="F163" s="12">
        <f>E163 * ('Reality Constants'!$B$3 * 2)</f>
        <v>0</v>
      </c>
      <c r="G163" s="12">
        <f>F163 / 'Reality Constants'!$B$4</f>
        <v>769.9834108</v>
      </c>
      <c r="H163" s="12">
        <f>F163 / 'Reality Constants'!$B$5</f>
        <v>0</v>
      </c>
      <c r="I163" s="13" t="str">
        <f t="array" ref="I163">IFERROR(INDEX('Price Matrix'!A:E, MATCH(B163, 'Price Matrix'!B:B, 0), 5),"")</f>
        <v/>
      </c>
      <c r="J163" s="12" t="str">
        <f t="shared" si="1"/>
        <v/>
      </c>
      <c r="K163" s="12">
        <f>E163*('Reality Constants'!$B$3 * 'Reality Constants'!$B$3)*'Reality Constants'!$B$8</f>
        <v>0</v>
      </c>
    </row>
    <row r="164" ht="22.5" customHeight="1">
      <c r="A164" s="6" t="s">
        <v>232</v>
      </c>
      <c r="B164" s="6" t="s">
        <v>244</v>
      </c>
      <c r="C164" s="11">
        <v>124.904435</v>
      </c>
      <c r="D164" s="11">
        <v>7.14</v>
      </c>
      <c r="E164" s="12">
        <f>C164*'Reality Constants'!$B$2</f>
        <v>0</v>
      </c>
      <c r="F164" s="12">
        <f>E164 * ('Reality Constants'!$B$3 * 2)</f>
        <v>0</v>
      </c>
      <c r="G164" s="12">
        <f>F164 / 'Reality Constants'!$B$4</f>
        <v>776.188604</v>
      </c>
      <c r="H164" s="12">
        <f>F164 / 'Reality Constants'!$B$5</f>
        <v>0</v>
      </c>
      <c r="I164" s="13" t="str">
        <f t="array" ref="I164">IFERROR(INDEX('Price Matrix'!A:E, MATCH(B164, 'Price Matrix'!B:B, 0), 5),"")</f>
        <v/>
      </c>
      <c r="J164" s="12" t="str">
        <f t="shared" si="1"/>
        <v/>
      </c>
      <c r="K164" s="12">
        <f>E164*('Reality Constants'!$B$3 * 'Reality Constants'!$B$3)*'Reality Constants'!$B$8</f>
        <v>0</v>
      </c>
    </row>
    <row r="165" ht="22.5" customHeight="1">
      <c r="A165" s="6" t="s">
        <v>232</v>
      </c>
      <c r="B165" s="6" t="s">
        <v>245</v>
      </c>
      <c r="C165" s="11">
        <v>125.90331</v>
      </c>
      <c r="D165" s="11">
        <v>18.95</v>
      </c>
      <c r="E165" s="12">
        <f>C165*'Reality Constants'!$B$2</f>
        <v>0</v>
      </c>
      <c r="F165" s="12">
        <f>E165 * ('Reality Constants'!$B$3 * 2)</f>
        <v>0</v>
      </c>
      <c r="G165" s="12">
        <f>F165 / 'Reality Constants'!$B$4</f>
        <v>782.3958727</v>
      </c>
      <c r="H165" s="12">
        <f>F165 / 'Reality Constants'!$B$5</f>
        <v>0</v>
      </c>
      <c r="I165" s="13" t="str">
        <f t="array" ref="I165">IFERROR(INDEX('Price Matrix'!A:E, MATCH(B165, 'Price Matrix'!B:B, 0), 5),"")</f>
        <v/>
      </c>
      <c r="J165" s="12" t="str">
        <f t="shared" si="1"/>
        <v/>
      </c>
      <c r="K165" s="12">
        <f>E165*('Reality Constants'!$B$3 * 'Reality Constants'!$B$3)*'Reality Constants'!$B$8</f>
        <v>0</v>
      </c>
    </row>
    <row r="166" ht="22.5" customHeight="1">
      <c r="A166" s="6" t="s">
        <v>242</v>
      </c>
      <c r="B166" s="6" t="s">
        <v>246</v>
      </c>
      <c r="C166" s="11">
        <v>125.904281</v>
      </c>
      <c r="D166" s="11">
        <v>0.09</v>
      </c>
      <c r="E166" s="12">
        <f>C166*'Reality Constants'!$B$2</f>
        <v>0</v>
      </c>
      <c r="F166" s="12">
        <f>E166 * ('Reality Constants'!$B$3 * 2)</f>
        <v>0</v>
      </c>
      <c r="G166" s="12">
        <f>F166 / 'Reality Constants'!$B$4</f>
        <v>782.4019068</v>
      </c>
      <c r="H166" s="12">
        <f>F166 / 'Reality Constants'!$B$5</f>
        <v>0</v>
      </c>
      <c r="I166" s="13" t="str">
        <f t="array" ref="I166">IFERROR(INDEX('Price Matrix'!A:E, MATCH(B166, 'Price Matrix'!B:B, 0), 5),"")</f>
        <v/>
      </c>
      <c r="J166" s="12" t="str">
        <f t="shared" si="1"/>
        <v/>
      </c>
      <c r="K166" s="12">
        <f>E166*('Reality Constants'!$B$3 * 'Reality Constants'!$B$3)*'Reality Constants'!$B$8</f>
        <v>0</v>
      </c>
    </row>
    <row r="167" ht="22.5" customHeight="1">
      <c r="A167" s="6" t="s">
        <v>247</v>
      </c>
      <c r="B167" s="6" t="s">
        <v>248</v>
      </c>
      <c r="C167" s="11">
        <v>126.904477</v>
      </c>
      <c r="D167" s="11">
        <v>100.0</v>
      </c>
      <c r="E167" s="12">
        <f>C167*'Reality Constants'!$B$2</f>
        <v>0</v>
      </c>
      <c r="F167" s="12">
        <f>E167 * ('Reality Constants'!$B$3 * 2)</f>
        <v>0</v>
      </c>
      <c r="G167" s="12">
        <f>F167 / 'Reality Constants'!$B$4</f>
        <v>788.6173845</v>
      </c>
      <c r="H167" s="12">
        <f>F167 / 'Reality Constants'!$B$5</f>
        <v>0</v>
      </c>
      <c r="I167" s="13" t="str">
        <f t="array" ref="I167">IFERROR(INDEX('Price Matrix'!A:E, MATCH(B167, 'Price Matrix'!B:B, 0), 5),"")</f>
        <v/>
      </c>
      <c r="J167" s="12" t="str">
        <f t="shared" si="1"/>
        <v/>
      </c>
      <c r="K167" s="12">
        <f>E167*('Reality Constants'!$B$3 * 'Reality Constants'!$B$3)*'Reality Constants'!$B$8</f>
        <v>0</v>
      </c>
    </row>
    <row r="168" ht="22.5" customHeight="1">
      <c r="A168" s="6" t="s">
        <v>242</v>
      </c>
      <c r="B168" s="6" t="s">
        <v>249</v>
      </c>
      <c r="C168" s="11">
        <v>127.903531</v>
      </c>
      <c r="D168" s="11">
        <v>1.91</v>
      </c>
      <c r="E168" s="12">
        <f>C168*'Reality Constants'!$B$2</f>
        <v>0</v>
      </c>
      <c r="F168" s="12">
        <f>E168 * ('Reality Constants'!$B$3 * 2)</f>
        <v>0</v>
      </c>
      <c r="G168" s="12">
        <f>F168 / 'Reality Constants'!$B$4</f>
        <v>794.8257656</v>
      </c>
      <c r="H168" s="12">
        <f>F168 / 'Reality Constants'!$B$5</f>
        <v>0</v>
      </c>
      <c r="I168" s="13" t="str">
        <f t="array" ref="I168">IFERROR(INDEX('Price Matrix'!A:E, MATCH(B168, 'Price Matrix'!B:B, 0), 5),"")</f>
        <v/>
      </c>
      <c r="J168" s="12" t="str">
        <f t="shared" si="1"/>
        <v/>
      </c>
      <c r="K168" s="12">
        <f>E168*('Reality Constants'!$B$3 * 'Reality Constants'!$B$3)*'Reality Constants'!$B$8</f>
        <v>0</v>
      </c>
    </row>
    <row r="169" ht="22.5" customHeight="1">
      <c r="A169" s="6" t="s">
        <v>232</v>
      </c>
      <c r="B169" s="6" t="s">
        <v>250</v>
      </c>
      <c r="C169" s="11">
        <v>127.904464</v>
      </c>
      <c r="D169" s="11">
        <v>31.69</v>
      </c>
      <c r="E169" s="12">
        <f>C169*'Reality Constants'!$B$2</f>
        <v>0</v>
      </c>
      <c r="F169" s="12">
        <f>E169 * ('Reality Constants'!$B$3 * 2)</f>
        <v>0</v>
      </c>
      <c r="G169" s="12">
        <f>F169 / 'Reality Constants'!$B$4</f>
        <v>794.8315635</v>
      </c>
      <c r="H169" s="12">
        <f>F169 / 'Reality Constants'!$B$5</f>
        <v>0</v>
      </c>
      <c r="I169" s="13" t="str">
        <f t="array" ref="I169">IFERROR(INDEX('Price Matrix'!A:E, MATCH(B169, 'Price Matrix'!B:B, 0), 5),"")</f>
        <v/>
      </c>
      <c r="J169" s="12" t="str">
        <f t="shared" si="1"/>
        <v/>
      </c>
      <c r="K169" s="12">
        <f>E169*('Reality Constants'!$B$3 * 'Reality Constants'!$B$3)*'Reality Constants'!$B$8</f>
        <v>0</v>
      </c>
    </row>
    <row r="170" ht="22.5" customHeight="1">
      <c r="A170" s="6" t="s">
        <v>242</v>
      </c>
      <c r="B170" s="6" t="s">
        <v>251</v>
      </c>
      <c r="C170" s="11">
        <v>128.90478</v>
      </c>
      <c r="D170" s="11">
        <v>26.4</v>
      </c>
      <c r="E170" s="12">
        <f>C170*'Reality Constants'!$B$2</f>
        <v>0</v>
      </c>
      <c r="F170" s="12">
        <f>E170 * ('Reality Constants'!$B$3 * 2)</f>
        <v>0</v>
      </c>
      <c r="G170" s="12">
        <f>F170 / 'Reality Constants'!$B$4</f>
        <v>801.0477869</v>
      </c>
      <c r="H170" s="12">
        <f>F170 / 'Reality Constants'!$B$5</f>
        <v>0</v>
      </c>
      <c r="I170" s="13" t="str">
        <f t="array" ref="I170">IFERROR(INDEX('Price Matrix'!A:E, MATCH(B170, 'Price Matrix'!B:B, 0), 5),"")</f>
        <v/>
      </c>
      <c r="J170" s="12" t="str">
        <f t="shared" si="1"/>
        <v/>
      </c>
      <c r="K170" s="12">
        <f>E170*('Reality Constants'!$B$3 * 'Reality Constants'!$B$3)*'Reality Constants'!$B$8</f>
        <v>0</v>
      </c>
    </row>
    <row r="171" ht="22.5" customHeight="1">
      <c r="A171" s="6" t="s">
        <v>242</v>
      </c>
      <c r="B171" s="6" t="s">
        <v>252</v>
      </c>
      <c r="C171" s="11">
        <v>129.90351</v>
      </c>
      <c r="D171" s="11">
        <v>4.1</v>
      </c>
      <c r="E171" s="12">
        <f>C171*'Reality Constants'!$B$2</f>
        <v>0</v>
      </c>
      <c r="F171" s="12">
        <f>E171 * ('Reality Constants'!$B$3 * 2)</f>
        <v>0</v>
      </c>
      <c r="G171" s="12">
        <f>F171 / 'Reality Constants'!$B$4</f>
        <v>807.2541546</v>
      </c>
      <c r="H171" s="12">
        <f>F171 / 'Reality Constants'!$B$5</f>
        <v>0</v>
      </c>
      <c r="I171" s="13" t="str">
        <f t="array" ref="I171">IFERROR(INDEX('Price Matrix'!A:E, MATCH(B171, 'Price Matrix'!B:B, 0), 5),"")</f>
        <v/>
      </c>
      <c r="J171" s="12" t="str">
        <f t="shared" si="1"/>
        <v/>
      </c>
      <c r="K171" s="12">
        <f>E171*('Reality Constants'!$B$3 * 'Reality Constants'!$B$3)*'Reality Constants'!$B$8</f>
        <v>0</v>
      </c>
    </row>
    <row r="172" ht="22.5" customHeight="1">
      <c r="A172" s="6" t="s">
        <v>232</v>
      </c>
      <c r="B172" s="6" t="s">
        <v>253</v>
      </c>
      <c r="C172" s="11">
        <v>129.906229</v>
      </c>
      <c r="D172" s="11">
        <v>33.8</v>
      </c>
      <c r="E172" s="12">
        <f>C172*'Reality Constants'!$B$2</f>
        <v>0</v>
      </c>
      <c r="F172" s="12">
        <f>E172 * ('Reality Constants'!$B$3 * 2)</f>
        <v>0</v>
      </c>
      <c r="G172" s="12">
        <f>F172 / 'Reality Constants'!$B$4</f>
        <v>807.2710512</v>
      </c>
      <c r="H172" s="12">
        <f>F172 / 'Reality Constants'!$B$5</f>
        <v>0</v>
      </c>
      <c r="I172" s="13" t="str">
        <f t="array" ref="I172">IFERROR(INDEX('Price Matrix'!A:E, MATCH(B172, 'Price Matrix'!B:B, 0), 5),"")</f>
        <v/>
      </c>
      <c r="J172" s="12" t="str">
        <f t="shared" si="1"/>
        <v/>
      </c>
      <c r="K172" s="12">
        <f>E172*('Reality Constants'!$B$3 * 'Reality Constants'!$B$3)*'Reality Constants'!$B$8</f>
        <v>0</v>
      </c>
    </row>
    <row r="173" ht="22.5" customHeight="1">
      <c r="A173" s="6" t="s">
        <v>254</v>
      </c>
      <c r="B173" s="6" t="s">
        <v>255</v>
      </c>
      <c r="C173" s="11">
        <v>129.906277</v>
      </c>
      <c r="D173" s="11">
        <v>0.11</v>
      </c>
      <c r="E173" s="12">
        <f>C173*'Reality Constants'!$B$2</f>
        <v>0</v>
      </c>
      <c r="F173" s="12">
        <f>E173 * ('Reality Constants'!$B$3 * 2)</f>
        <v>0</v>
      </c>
      <c r="G173" s="12">
        <f>F173 / 'Reality Constants'!$B$4</f>
        <v>807.2713494</v>
      </c>
      <c r="H173" s="12">
        <f>F173 / 'Reality Constants'!$B$5</f>
        <v>0</v>
      </c>
      <c r="I173" s="13" t="str">
        <f t="array" ref="I173">IFERROR(INDEX('Price Matrix'!A:E, MATCH(B173, 'Price Matrix'!B:B, 0), 5),"")</f>
        <v/>
      </c>
      <c r="J173" s="12" t="str">
        <f t="shared" si="1"/>
        <v/>
      </c>
      <c r="K173" s="12">
        <f>E173*('Reality Constants'!$B$3 * 'Reality Constants'!$B$3)*'Reality Constants'!$B$8</f>
        <v>0</v>
      </c>
    </row>
    <row r="174" ht="22.5" customHeight="1">
      <c r="A174" s="6" t="s">
        <v>242</v>
      </c>
      <c r="B174" s="6" t="s">
        <v>256</v>
      </c>
      <c r="C174" s="11">
        <v>130.905076</v>
      </c>
      <c r="D174" s="11">
        <v>21.2</v>
      </c>
      <c r="E174" s="12">
        <f>C174*'Reality Constants'!$B$2</f>
        <v>0</v>
      </c>
      <c r="F174" s="12">
        <f>E174 * ('Reality Constants'!$B$3 * 2)</f>
        <v>0</v>
      </c>
      <c r="G174" s="12">
        <f>F174 / 'Reality Constants'!$B$4</f>
        <v>813.4781459</v>
      </c>
      <c r="H174" s="12">
        <f>F174 / 'Reality Constants'!$B$5</f>
        <v>0</v>
      </c>
      <c r="I174" s="13" t="str">
        <f t="array" ref="I174">IFERROR(INDEX('Price Matrix'!A:E, MATCH(B174, 'Price Matrix'!B:B, 0), 5),"")</f>
        <v/>
      </c>
      <c r="J174" s="12" t="str">
        <f t="shared" si="1"/>
        <v/>
      </c>
      <c r="K174" s="12">
        <f>E174*('Reality Constants'!$B$3 * 'Reality Constants'!$B$3)*'Reality Constants'!$B$8</f>
        <v>0</v>
      </c>
    </row>
    <row r="175" ht="22.5" customHeight="1">
      <c r="A175" s="6" t="s">
        <v>242</v>
      </c>
      <c r="B175" s="6" t="s">
        <v>257</v>
      </c>
      <c r="C175" s="11">
        <v>131.904148</v>
      </c>
      <c r="D175" s="11">
        <v>26.9</v>
      </c>
      <c r="E175" s="12">
        <f>C175*'Reality Constants'!$B$2</f>
        <v>0</v>
      </c>
      <c r="F175" s="12">
        <f>E175 * ('Reality Constants'!$B$3 * 2)</f>
        <v>0</v>
      </c>
      <c r="G175" s="12">
        <f>F175 / 'Reality Constants'!$B$4</f>
        <v>819.6866388</v>
      </c>
      <c r="H175" s="12">
        <f>F175 / 'Reality Constants'!$B$5</f>
        <v>0</v>
      </c>
      <c r="I175" s="13" t="str">
        <f t="array" ref="I175">IFERROR(INDEX('Price Matrix'!A:E, MATCH(B175, 'Price Matrix'!B:B, 0), 5),"")</f>
        <v/>
      </c>
      <c r="J175" s="12" t="str">
        <f t="shared" si="1"/>
        <v/>
      </c>
      <c r="K175" s="12">
        <f>E175*('Reality Constants'!$B$3 * 'Reality Constants'!$B$3)*'Reality Constants'!$B$8</f>
        <v>0</v>
      </c>
    </row>
    <row r="176" ht="22.5" customHeight="1">
      <c r="A176" s="6" t="s">
        <v>254</v>
      </c>
      <c r="B176" s="6" t="s">
        <v>258</v>
      </c>
      <c r="C176" s="11">
        <v>131.905042</v>
      </c>
      <c r="D176" s="11">
        <v>0.1</v>
      </c>
      <c r="E176" s="12">
        <f>C176*'Reality Constants'!$B$2</f>
        <v>0</v>
      </c>
      <c r="F176" s="12">
        <f>E176 * ('Reality Constants'!$B$3 * 2)</f>
        <v>0</v>
      </c>
      <c r="G176" s="12">
        <f>F176 / 'Reality Constants'!$B$4</f>
        <v>819.6921943</v>
      </c>
      <c r="H176" s="12">
        <f>F176 / 'Reality Constants'!$B$5</f>
        <v>0</v>
      </c>
      <c r="I176" s="13" t="str">
        <f t="array" ref="I176">IFERROR(INDEX('Price Matrix'!A:E, MATCH(B176, 'Price Matrix'!B:B, 0), 5),"")</f>
        <v/>
      </c>
      <c r="J176" s="12" t="str">
        <f t="shared" si="1"/>
        <v/>
      </c>
      <c r="K176" s="12">
        <f>E176*('Reality Constants'!$B$3 * 'Reality Constants'!$B$3)*'Reality Constants'!$B$8</f>
        <v>0</v>
      </c>
    </row>
    <row r="177" ht="22.5" customHeight="1">
      <c r="A177" s="6" t="s">
        <v>259</v>
      </c>
      <c r="B177" s="6" t="s">
        <v>260</v>
      </c>
      <c r="C177" s="11">
        <v>132.905433</v>
      </c>
      <c r="D177" s="11">
        <v>100.0</v>
      </c>
      <c r="E177" s="12">
        <f>C177*'Reality Constants'!$B$2</f>
        <v>0</v>
      </c>
      <c r="F177" s="12">
        <f>E177 * ('Reality Constants'!$B$3 * 2)</f>
        <v>0</v>
      </c>
      <c r="G177" s="12">
        <f>F177 / 'Reality Constants'!$B$4</f>
        <v>825.9088839</v>
      </c>
      <c r="H177" s="12">
        <f>F177 / 'Reality Constants'!$B$5</f>
        <v>0</v>
      </c>
      <c r="I177" s="13" t="str">
        <f t="array" ref="I177">IFERROR(INDEX('Price Matrix'!A:E, MATCH(B177, 'Price Matrix'!B:B, 0), 5),"")</f>
        <v/>
      </c>
      <c r="J177" s="12" t="str">
        <f t="shared" si="1"/>
        <v/>
      </c>
      <c r="K177" s="12">
        <f>E177*('Reality Constants'!$B$3 * 'Reality Constants'!$B$3)*'Reality Constants'!$B$8</f>
        <v>0</v>
      </c>
    </row>
    <row r="178" ht="22.5" customHeight="1">
      <c r="A178" s="6" t="s">
        <v>254</v>
      </c>
      <c r="B178" s="6" t="s">
        <v>261</v>
      </c>
      <c r="C178" s="11">
        <v>133.90449</v>
      </c>
      <c r="D178" s="11">
        <v>2.42</v>
      </c>
      <c r="E178" s="12">
        <f>C178*'Reality Constants'!$B$2</f>
        <v>0</v>
      </c>
      <c r="F178" s="12">
        <f>E178 * ('Reality Constants'!$B$3 * 2)</f>
        <v>0</v>
      </c>
      <c r="G178" s="12">
        <f>F178 / 'Reality Constants'!$B$4</f>
        <v>832.1172836</v>
      </c>
      <c r="H178" s="12">
        <f>F178 / 'Reality Constants'!$B$5</f>
        <v>0</v>
      </c>
      <c r="I178" s="13" t="str">
        <f t="array" ref="I178">IFERROR(INDEX('Price Matrix'!A:E, MATCH(B178, 'Price Matrix'!B:B, 0), 5),"")</f>
        <v/>
      </c>
      <c r="J178" s="12" t="str">
        <f t="shared" si="1"/>
        <v/>
      </c>
      <c r="K178" s="12">
        <f>E178*('Reality Constants'!$B$3 * 'Reality Constants'!$B$3)*'Reality Constants'!$B$8</f>
        <v>0</v>
      </c>
    </row>
    <row r="179" ht="22.5" customHeight="1">
      <c r="A179" s="6" t="s">
        <v>242</v>
      </c>
      <c r="B179" s="6" t="s">
        <v>262</v>
      </c>
      <c r="C179" s="11">
        <v>133.905395</v>
      </c>
      <c r="D179" s="11">
        <v>10.4</v>
      </c>
      <c r="E179" s="12">
        <f>C179*'Reality Constants'!$B$2</f>
        <v>0</v>
      </c>
      <c r="F179" s="12">
        <f>E179 * ('Reality Constants'!$B$3 * 2)</f>
        <v>0</v>
      </c>
      <c r="G179" s="12">
        <f>F179 / 'Reality Constants'!$B$4</f>
        <v>832.1229075</v>
      </c>
      <c r="H179" s="12">
        <f>F179 / 'Reality Constants'!$B$5</f>
        <v>0</v>
      </c>
      <c r="I179" s="13" t="str">
        <f t="array" ref="I179">IFERROR(INDEX('Price Matrix'!A:E, MATCH(B179, 'Price Matrix'!B:B, 0), 5),"")</f>
        <v/>
      </c>
      <c r="J179" s="12" t="str">
        <f t="shared" si="1"/>
        <v/>
      </c>
      <c r="K179" s="12">
        <f>E179*('Reality Constants'!$B$3 * 'Reality Constants'!$B$3)*'Reality Constants'!$B$8</f>
        <v>0</v>
      </c>
    </row>
    <row r="180" ht="22.5" customHeight="1">
      <c r="A180" s="6" t="s">
        <v>254</v>
      </c>
      <c r="B180" s="6" t="s">
        <v>263</v>
      </c>
      <c r="C180" s="11">
        <v>134.905668</v>
      </c>
      <c r="D180" s="11">
        <v>6.59</v>
      </c>
      <c r="E180" s="12">
        <f>C180*'Reality Constants'!$B$2</f>
        <v>0</v>
      </c>
      <c r="F180" s="12">
        <f>E180 * ('Reality Constants'!$B$3 * 2)</f>
        <v>0</v>
      </c>
      <c r="G180" s="12">
        <f>F180 / 'Reality Constants'!$B$4</f>
        <v>838.3388637</v>
      </c>
      <c r="H180" s="12">
        <f>F180 / 'Reality Constants'!$B$5</f>
        <v>0</v>
      </c>
      <c r="I180" s="13" t="str">
        <f t="array" ref="I180">IFERROR(INDEX('Price Matrix'!A:E, MATCH(B180, 'Price Matrix'!B:B, 0), 5),"")</f>
        <v/>
      </c>
      <c r="J180" s="12" t="str">
        <f t="shared" si="1"/>
        <v/>
      </c>
      <c r="K180" s="12">
        <f>E180*('Reality Constants'!$B$3 * 'Reality Constants'!$B$3)*'Reality Constants'!$B$8</f>
        <v>0</v>
      </c>
    </row>
    <row r="181" ht="22.5" customHeight="1">
      <c r="A181" s="6" t="s">
        <v>254</v>
      </c>
      <c r="B181" s="6" t="s">
        <v>264</v>
      </c>
      <c r="C181" s="11">
        <v>135.904556</v>
      </c>
      <c r="D181" s="11">
        <v>7.85</v>
      </c>
      <c r="E181" s="12">
        <f>C181*'Reality Constants'!$B$2</f>
        <v>0</v>
      </c>
      <c r="F181" s="12">
        <f>E181 * ('Reality Constants'!$B$3 * 2)</f>
        <v>0</v>
      </c>
      <c r="G181" s="12">
        <f>F181 / 'Reality Constants'!$B$4</f>
        <v>844.5462133</v>
      </c>
      <c r="H181" s="12">
        <f>F181 / 'Reality Constants'!$B$5</f>
        <v>0</v>
      </c>
      <c r="I181" s="13" t="str">
        <f t="array" ref="I181">IFERROR(INDEX('Price Matrix'!A:E, MATCH(B181, 'Price Matrix'!B:B, 0), 5),"")</f>
        <v/>
      </c>
      <c r="J181" s="12" t="str">
        <f t="shared" si="1"/>
        <v/>
      </c>
      <c r="K181" s="12">
        <f>E181*('Reality Constants'!$B$3 * 'Reality Constants'!$B$3)*'Reality Constants'!$B$8</f>
        <v>0</v>
      </c>
    </row>
    <row r="182" ht="22.5" customHeight="1">
      <c r="A182" s="6" t="s">
        <v>265</v>
      </c>
      <c r="B182" s="6" t="s">
        <v>266</v>
      </c>
      <c r="C182" s="11">
        <v>135.90714</v>
      </c>
      <c r="D182" s="11">
        <v>0.19</v>
      </c>
      <c r="E182" s="12">
        <f>C182*'Reality Constants'!$B$2</f>
        <v>0</v>
      </c>
      <c r="F182" s="12">
        <f>E182 * ('Reality Constants'!$B$3 * 2)</f>
        <v>0</v>
      </c>
      <c r="G182" s="12">
        <f>F182 / 'Reality Constants'!$B$4</f>
        <v>844.5622709</v>
      </c>
      <c r="H182" s="12">
        <f>F182 / 'Reality Constants'!$B$5</f>
        <v>0</v>
      </c>
      <c r="I182" s="13">
        <f t="array" ref="I182">IFERROR(INDEX('Price Matrix'!A:E, MATCH(B182, 'Price Matrix'!B:B, 0), 5),"")</f>
        <v>3.72</v>
      </c>
      <c r="J182" s="12">
        <f t="shared" si="1"/>
        <v>0</v>
      </c>
      <c r="K182" s="12">
        <f>E182*('Reality Constants'!$B$3 * 'Reality Constants'!$B$3)*'Reality Constants'!$B$8</f>
        <v>0</v>
      </c>
    </row>
    <row r="183" ht="22.5" customHeight="1">
      <c r="A183" s="6" t="s">
        <v>242</v>
      </c>
      <c r="B183" s="6" t="s">
        <v>267</v>
      </c>
      <c r="C183" s="11">
        <v>135.907219</v>
      </c>
      <c r="D183" s="11">
        <v>8.9</v>
      </c>
      <c r="E183" s="12">
        <f>C183*'Reality Constants'!$B$2</f>
        <v>0</v>
      </c>
      <c r="F183" s="12">
        <f>E183 * ('Reality Constants'!$B$3 * 2)</f>
        <v>0</v>
      </c>
      <c r="G183" s="12">
        <f>F183 / 'Reality Constants'!$B$4</f>
        <v>844.5627618</v>
      </c>
      <c r="H183" s="12">
        <f>F183 / 'Reality Constants'!$B$5</f>
        <v>0</v>
      </c>
      <c r="I183" s="13" t="str">
        <f t="array" ref="I183">IFERROR(INDEX('Price Matrix'!A:E, MATCH(B183, 'Price Matrix'!B:B, 0), 5),"")</f>
        <v/>
      </c>
      <c r="J183" s="12" t="str">
        <f t="shared" si="1"/>
        <v/>
      </c>
      <c r="K183" s="12">
        <f>E183*('Reality Constants'!$B$3 * 'Reality Constants'!$B$3)*'Reality Constants'!$B$8</f>
        <v>0</v>
      </c>
    </row>
    <row r="184" ht="22.5" customHeight="1">
      <c r="A184" s="6" t="s">
        <v>254</v>
      </c>
      <c r="B184" s="6" t="s">
        <v>268</v>
      </c>
      <c r="C184" s="11">
        <v>136.905816</v>
      </c>
      <c r="D184" s="11">
        <v>11.23</v>
      </c>
      <c r="E184" s="12">
        <f>C184*'Reality Constants'!$B$2</f>
        <v>0</v>
      </c>
      <c r="F184" s="12">
        <f>E184 * ('Reality Constants'!$B$3 * 2)</f>
        <v>0</v>
      </c>
      <c r="G184" s="12">
        <f>F184 / 'Reality Constants'!$B$4</f>
        <v>850.768303</v>
      </c>
      <c r="H184" s="12">
        <f>F184 / 'Reality Constants'!$B$5</f>
        <v>0</v>
      </c>
      <c r="I184" s="13" t="str">
        <f t="array" ref="I184">IFERROR(INDEX('Price Matrix'!A:E, MATCH(B184, 'Price Matrix'!B:B, 0), 5),"")</f>
        <v/>
      </c>
      <c r="J184" s="12" t="str">
        <f t="shared" si="1"/>
        <v/>
      </c>
      <c r="K184" s="12">
        <f>E184*('Reality Constants'!$B$3 * 'Reality Constants'!$B$3)*'Reality Constants'!$B$8</f>
        <v>0</v>
      </c>
    </row>
    <row r="185" ht="22.5" customHeight="1">
      <c r="A185" s="6" t="s">
        <v>254</v>
      </c>
      <c r="B185" s="6" t="s">
        <v>269</v>
      </c>
      <c r="C185" s="11">
        <v>137.905236</v>
      </c>
      <c r="D185" s="11">
        <v>71.7</v>
      </c>
      <c r="E185" s="12">
        <f>C185*'Reality Constants'!$B$2</f>
        <v>0</v>
      </c>
      <c r="F185" s="12">
        <f>E185 * ('Reality Constants'!$B$3 * 2)</f>
        <v>0</v>
      </c>
      <c r="G185" s="12">
        <f>F185 / 'Reality Constants'!$B$4</f>
        <v>856.9789585</v>
      </c>
      <c r="H185" s="12">
        <f>F185 / 'Reality Constants'!$B$5</f>
        <v>0</v>
      </c>
      <c r="I185" s="13" t="str">
        <f t="array" ref="I185">IFERROR(INDEX('Price Matrix'!A:E, MATCH(B185, 'Price Matrix'!B:B, 0), 5),"")</f>
        <v/>
      </c>
      <c r="J185" s="12" t="str">
        <f t="shared" si="1"/>
        <v/>
      </c>
      <c r="K185" s="12">
        <f>E185*('Reality Constants'!$B$3 * 'Reality Constants'!$B$3)*'Reality Constants'!$B$8</f>
        <v>0</v>
      </c>
    </row>
    <row r="186" ht="22.5" customHeight="1">
      <c r="A186" s="6" t="s">
        <v>265</v>
      </c>
      <c r="B186" s="6" t="s">
        <v>270</v>
      </c>
      <c r="C186" s="11">
        <v>137.905996</v>
      </c>
      <c r="D186" s="11">
        <v>0.25</v>
      </c>
      <c r="E186" s="12">
        <f>C186*'Reality Constants'!$B$2</f>
        <v>0</v>
      </c>
      <c r="F186" s="12">
        <f>E186 * ('Reality Constants'!$B$3 * 2)</f>
        <v>0</v>
      </c>
      <c r="G186" s="12">
        <f>F186 / 'Reality Constants'!$B$4</f>
        <v>856.9836813</v>
      </c>
      <c r="H186" s="12">
        <f>F186 / 'Reality Constants'!$B$5</f>
        <v>0</v>
      </c>
      <c r="I186" s="13">
        <f t="array" ref="I186">IFERROR(INDEX('Price Matrix'!A:E, MATCH(B186, 'Price Matrix'!B:B, 0), 5),"")</f>
        <v>3.72</v>
      </c>
      <c r="J186" s="12">
        <f t="shared" si="1"/>
        <v>0</v>
      </c>
      <c r="K186" s="12">
        <f>E186*('Reality Constants'!$B$3 * 'Reality Constants'!$B$3)*'Reality Constants'!$B$8</f>
        <v>0</v>
      </c>
    </row>
    <row r="187" ht="22.5" customHeight="1">
      <c r="A187" s="6" t="s">
        <v>271</v>
      </c>
      <c r="B187" s="6" t="s">
        <v>272</v>
      </c>
      <c r="C187" s="11">
        <v>137.907114</v>
      </c>
      <c r="D187" s="11">
        <v>0.09</v>
      </c>
      <c r="E187" s="12">
        <f>C187*'Reality Constants'!$B$2</f>
        <v>0</v>
      </c>
      <c r="F187" s="12">
        <f>E187 * ('Reality Constants'!$B$3 * 2)</f>
        <v>0</v>
      </c>
      <c r="G187" s="12">
        <f>F187 / 'Reality Constants'!$B$4</f>
        <v>856.9906288</v>
      </c>
      <c r="H187" s="12">
        <f>F187 / 'Reality Constants'!$B$5</f>
        <v>0</v>
      </c>
      <c r="I187" s="13">
        <f t="array" ref="I187">IFERROR(INDEX('Price Matrix'!A:E, MATCH(B187, 'Price Matrix'!B:B, 0), 5),"")</f>
        <v>2.64</v>
      </c>
      <c r="J187" s="12">
        <f t="shared" si="1"/>
        <v>0</v>
      </c>
      <c r="K187" s="12">
        <f>E187*('Reality Constants'!$B$3 * 'Reality Constants'!$B$3)*'Reality Constants'!$B$8</f>
        <v>0</v>
      </c>
    </row>
    <row r="188" ht="22.5" customHeight="1">
      <c r="A188" s="6" t="s">
        <v>271</v>
      </c>
      <c r="B188" s="6" t="s">
        <v>273</v>
      </c>
      <c r="C188" s="11">
        <v>138.906355</v>
      </c>
      <c r="D188" s="11">
        <v>99.91</v>
      </c>
      <c r="E188" s="12">
        <f>C188*'Reality Constants'!$B$2</f>
        <v>0</v>
      </c>
      <c r="F188" s="12">
        <f>E188 * ('Reality Constants'!$B$3 * 2)</f>
        <v>0</v>
      </c>
      <c r="G188" s="12">
        <f>F188 / 'Reality Constants'!$B$4</f>
        <v>863.200172</v>
      </c>
      <c r="H188" s="12">
        <f>F188 / 'Reality Constants'!$B$5</f>
        <v>0</v>
      </c>
      <c r="I188" s="13">
        <f t="array" ref="I188">IFERROR(INDEX('Price Matrix'!A:E, MATCH(B188, 'Price Matrix'!B:B, 0), 5),"")</f>
        <v>2.64</v>
      </c>
      <c r="J188" s="12">
        <f t="shared" si="1"/>
        <v>0</v>
      </c>
      <c r="K188" s="12">
        <f>E188*('Reality Constants'!$B$3 * 'Reality Constants'!$B$3)*'Reality Constants'!$B$8</f>
        <v>0</v>
      </c>
    </row>
    <row r="189" ht="22.5" customHeight="1">
      <c r="A189" s="6" t="s">
        <v>265</v>
      </c>
      <c r="B189" s="6" t="s">
        <v>274</v>
      </c>
      <c r="C189" s="11">
        <v>139.905442</v>
      </c>
      <c r="D189" s="11">
        <v>88.48</v>
      </c>
      <c r="E189" s="12">
        <f>C189*'Reality Constants'!$B$2</f>
        <v>0</v>
      </c>
      <c r="F189" s="12">
        <f>E189 * ('Reality Constants'!$B$3 * 2)</f>
        <v>0</v>
      </c>
      <c r="G189" s="12">
        <f>F189 / 'Reality Constants'!$B$4</f>
        <v>869.4087581</v>
      </c>
      <c r="H189" s="12">
        <f>F189 / 'Reality Constants'!$B$5</f>
        <v>0</v>
      </c>
      <c r="I189" s="13">
        <f t="array" ref="I189">IFERROR(INDEX('Price Matrix'!A:E, MATCH(B189, 'Price Matrix'!B:B, 0), 5),"")</f>
        <v>3.72</v>
      </c>
      <c r="J189" s="12">
        <f t="shared" si="1"/>
        <v>0</v>
      </c>
      <c r="K189" s="12">
        <f>E189*('Reality Constants'!$B$3 * 'Reality Constants'!$B$3)*'Reality Constants'!$B$8</f>
        <v>0</v>
      </c>
    </row>
    <row r="190" ht="22.5" customHeight="1">
      <c r="A190" s="6" t="s">
        <v>275</v>
      </c>
      <c r="B190" s="6" t="s">
        <v>276</v>
      </c>
      <c r="C190" s="11">
        <v>140.907657</v>
      </c>
      <c r="D190" s="11">
        <v>100.0</v>
      </c>
      <c r="E190" s="12">
        <f>C190*'Reality Constants'!$B$2</f>
        <v>0</v>
      </c>
      <c r="F190" s="12">
        <f>E190 * ('Reality Constants'!$B$3 * 2)</f>
        <v>0</v>
      </c>
      <c r="G190" s="12">
        <f>F190 / 'Reality Constants'!$B$4</f>
        <v>875.6367825</v>
      </c>
      <c r="H190" s="12">
        <f>F190 / 'Reality Constants'!$B$5</f>
        <v>0</v>
      </c>
      <c r="I190" s="13">
        <f t="array" ref="I190">IFERROR(INDEX('Price Matrix'!A:E, MATCH(B190, 'Price Matrix'!B:B, 0), 5),"")</f>
        <v>83.56</v>
      </c>
      <c r="J190" s="12">
        <f t="shared" si="1"/>
        <v>0</v>
      </c>
      <c r="K190" s="12">
        <f>E190*('Reality Constants'!$B$3 * 'Reality Constants'!$B$3)*'Reality Constants'!$B$8</f>
        <v>0</v>
      </c>
    </row>
    <row r="191" ht="22.5" customHeight="1">
      <c r="A191" s="6" t="s">
        <v>277</v>
      </c>
      <c r="B191" s="6" t="s">
        <v>278</v>
      </c>
      <c r="C191" s="11">
        <v>141.907731</v>
      </c>
      <c r="D191" s="11">
        <v>27.13</v>
      </c>
      <c r="E191" s="12">
        <f>C191*'Reality Constants'!$B$2</f>
        <v>0</v>
      </c>
      <c r="F191" s="12">
        <f>E191 * ('Reality Constants'!$B$3 * 2)</f>
        <v>0</v>
      </c>
      <c r="G191" s="12">
        <f>F191 / 'Reality Constants'!$B$4</f>
        <v>881.8515021</v>
      </c>
      <c r="H191" s="12">
        <f>F191 / 'Reality Constants'!$B$5</f>
        <v>0</v>
      </c>
      <c r="I191" s="13">
        <f t="array" ref="I191">IFERROR(INDEX('Price Matrix'!A:E, MATCH(B191, 'Price Matrix'!B:B, 0), 5),"")</f>
        <v>80.49</v>
      </c>
      <c r="J191" s="12">
        <f t="shared" si="1"/>
        <v>0</v>
      </c>
      <c r="K191" s="12">
        <f>E191*('Reality Constants'!$B$3 * 'Reality Constants'!$B$3)*'Reality Constants'!$B$8</f>
        <v>0</v>
      </c>
    </row>
    <row r="192" ht="22.5" customHeight="1">
      <c r="A192" s="6" t="s">
        <v>265</v>
      </c>
      <c r="B192" s="6" t="s">
        <v>279</v>
      </c>
      <c r="C192" s="11">
        <v>141.909249</v>
      </c>
      <c r="D192" s="11">
        <v>11.08</v>
      </c>
      <c r="E192" s="12">
        <f>C192*'Reality Constants'!$B$2</f>
        <v>0</v>
      </c>
      <c r="F192" s="12">
        <f>E192 * ('Reality Constants'!$B$3 * 2)</f>
        <v>0</v>
      </c>
      <c r="G192" s="12">
        <f>F192 / 'Reality Constants'!$B$4</f>
        <v>881.8609353</v>
      </c>
      <c r="H192" s="12">
        <f>F192 / 'Reality Constants'!$B$5</f>
        <v>0</v>
      </c>
      <c r="I192" s="13">
        <f t="array" ref="I192">IFERROR(INDEX('Price Matrix'!A:E, MATCH(B192, 'Price Matrix'!B:B, 0), 5),"")</f>
        <v>3.72</v>
      </c>
      <c r="J192" s="12">
        <f t="shared" si="1"/>
        <v>0</v>
      </c>
      <c r="K192" s="12">
        <f>E192*('Reality Constants'!$B$3 * 'Reality Constants'!$B$3)*'Reality Constants'!$B$8</f>
        <v>0</v>
      </c>
    </row>
    <row r="193" ht="22.5" customHeight="1">
      <c r="A193" s="6" t="s">
        <v>277</v>
      </c>
      <c r="B193" s="6" t="s">
        <v>280</v>
      </c>
      <c r="C193" s="11">
        <v>142.909823</v>
      </c>
      <c r="D193" s="11">
        <v>12.18</v>
      </c>
      <c r="E193" s="12">
        <f>C193*'Reality Constants'!$B$2</f>
        <v>0</v>
      </c>
      <c r="F193" s="12">
        <f>E193 * ('Reality Constants'!$B$3 * 2)</f>
        <v>0</v>
      </c>
      <c r="G193" s="12">
        <f>F193 / 'Reality Constants'!$B$4</f>
        <v>888.0787621</v>
      </c>
      <c r="H193" s="12">
        <f>F193 / 'Reality Constants'!$B$5</f>
        <v>0</v>
      </c>
      <c r="I193" s="13">
        <f t="array" ref="I193">IFERROR(INDEX('Price Matrix'!A:E, MATCH(B193, 'Price Matrix'!B:B, 0), 5),"")</f>
        <v>80.49</v>
      </c>
      <c r="J193" s="12">
        <f t="shared" si="1"/>
        <v>0</v>
      </c>
      <c r="K193" s="12">
        <f>E193*('Reality Constants'!$B$3 * 'Reality Constants'!$B$3)*'Reality Constants'!$B$8</f>
        <v>0</v>
      </c>
    </row>
    <row r="194" ht="22.5" customHeight="1">
      <c r="A194" s="6" t="s">
        <v>277</v>
      </c>
      <c r="B194" s="6" t="s">
        <v>281</v>
      </c>
      <c r="C194" s="11">
        <v>143.910096</v>
      </c>
      <c r="D194" s="11">
        <v>23.8</v>
      </c>
      <c r="E194" s="12">
        <f>C194*'Reality Constants'!$B$2</f>
        <v>0</v>
      </c>
      <c r="F194" s="12">
        <f>E194 * ('Reality Constants'!$B$3 * 2)</f>
        <v>0</v>
      </c>
      <c r="G194" s="12">
        <f>F194 / 'Reality Constants'!$B$4</f>
        <v>894.2947183</v>
      </c>
      <c r="H194" s="12">
        <f>F194 / 'Reality Constants'!$B$5</f>
        <v>0</v>
      </c>
      <c r="I194" s="13">
        <f t="array" ref="I194">IFERROR(INDEX('Price Matrix'!A:E, MATCH(B194, 'Price Matrix'!B:B, 0), 5),"")</f>
        <v>80.49</v>
      </c>
      <c r="J194" s="12">
        <f t="shared" si="1"/>
        <v>0</v>
      </c>
      <c r="K194" s="12">
        <f>E194*('Reality Constants'!$B$3 * 'Reality Constants'!$B$3)*'Reality Constants'!$B$8</f>
        <v>0</v>
      </c>
    </row>
    <row r="195" ht="22.5" customHeight="1">
      <c r="A195" s="6" t="s">
        <v>282</v>
      </c>
      <c r="B195" s="6" t="s">
        <v>283</v>
      </c>
      <c r="C195" s="11">
        <v>143.912009</v>
      </c>
      <c r="D195" s="11">
        <v>3.1</v>
      </c>
      <c r="E195" s="12">
        <f>C195*'Reality Constants'!$B$2</f>
        <v>0</v>
      </c>
      <c r="F195" s="12">
        <f>E195 * ('Reality Constants'!$B$3 * 2)</f>
        <v>0</v>
      </c>
      <c r="G195" s="12">
        <f>F195 / 'Reality Constants'!$B$4</f>
        <v>894.3066062</v>
      </c>
      <c r="H195" s="12">
        <f>F195 / 'Reality Constants'!$B$5</f>
        <v>0</v>
      </c>
      <c r="I195" s="13">
        <f t="array" ref="I195">IFERROR(INDEX('Price Matrix'!A:E, MATCH(B195, 'Price Matrix'!B:B, 0), 5),"")</f>
        <v>8.97</v>
      </c>
      <c r="J195" s="12">
        <f t="shared" si="1"/>
        <v>0</v>
      </c>
      <c r="K195" s="12">
        <f>E195*('Reality Constants'!$B$3 * 'Reality Constants'!$B$3)*'Reality Constants'!$B$8</f>
        <v>0</v>
      </c>
    </row>
    <row r="196" ht="22.5" customHeight="1">
      <c r="A196" s="6" t="s">
        <v>277</v>
      </c>
      <c r="B196" s="6" t="s">
        <v>284</v>
      </c>
      <c r="C196" s="11">
        <v>144.912582</v>
      </c>
      <c r="D196" s="11">
        <v>8.3</v>
      </c>
      <c r="E196" s="12">
        <f>C196*'Reality Constants'!$B$2</f>
        <v>0</v>
      </c>
      <c r="F196" s="12">
        <f>E196 * ('Reality Constants'!$B$3 * 2)</f>
        <v>0</v>
      </c>
      <c r="G196" s="12">
        <f>F196 / 'Reality Constants'!$B$4</f>
        <v>900.5244267</v>
      </c>
      <c r="H196" s="12">
        <f>F196 / 'Reality Constants'!$B$5</f>
        <v>0</v>
      </c>
      <c r="I196" s="13">
        <f t="array" ref="I196">IFERROR(INDEX('Price Matrix'!A:E, MATCH(B196, 'Price Matrix'!B:B, 0), 5),"")</f>
        <v>80.49</v>
      </c>
      <c r="J196" s="12">
        <f t="shared" si="1"/>
        <v>0</v>
      </c>
      <c r="K196" s="12">
        <f>E196*('Reality Constants'!$B$3 * 'Reality Constants'!$B$3)*'Reality Constants'!$B$8</f>
        <v>0</v>
      </c>
    </row>
    <row r="197" ht="22.5" customHeight="1">
      <c r="A197" s="6" t="s">
        <v>277</v>
      </c>
      <c r="B197" s="6" t="s">
        <v>285</v>
      </c>
      <c r="C197" s="11">
        <v>145.913126</v>
      </c>
      <c r="D197" s="11">
        <v>17.19</v>
      </c>
      <c r="E197" s="12">
        <f>C197*'Reality Constants'!$B$2</f>
        <v>0</v>
      </c>
      <c r="F197" s="12">
        <f>E197 * ('Reality Constants'!$B$3 * 2)</f>
        <v>0</v>
      </c>
      <c r="G197" s="12">
        <f>F197 / 'Reality Constants'!$B$4</f>
        <v>906.742067</v>
      </c>
      <c r="H197" s="12">
        <f>F197 / 'Reality Constants'!$B$5</f>
        <v>0</v>
      </c>
      <c r="I197" s="13">
        <f t="array" ref="I197">IFERROR(INDEX('Price Matrix'!A:E, MATCH(B197, 'Price Matrix'!B:B, 0), 5),"")</f>
        <v>80.49</v>
      </c>
      <c r="J197" s="12">
        <f t="shared" si="1"/>
        <v>0</v>
      </c>
      <c r="K197" s="12">
        <f>E197*('Reality Constants'!$B$3 * 'Reality Constants'!$B$3)*'Reality Constants'!$B$8</f>
        <v>0</v>
      </c>
    </row>
    <row r="198" ht="22.5" customHeight="1">
      <c r="A198" s="6" t="s">
        <v>282</v>
      </c>
      <c r="B198" s="6" t="s">
        <v>286</v>
      </c>
      <c r="C198" s="11">
        <v>146.914907</v>
      </c>
      <c r="D198" s="11">
        <v>15.0</v>
      </c>
      <c r="E198" s="12">
        <f>C198*'Reality Constants'!$B$2</f>
        <v>0</v>
      </c>
      <c r="F198" s="12">
        <f>E198 * ('Reality Constants'!$B$3 * 2)</f>
        <v>0</v>
      </c>
      <c r="G198" s="12">
        <f>F198 / 'Reality Constants'!$B$4</f>
        <v>912.9673944</v>
      </c>
      <c r="H198" s="12">
        <f>F198 / 'Reality Constants'!$B$5</f>
        <v>0</v>
      </c>
      <c r="I198" s="13">
        <f t="array" ref="I198">IFERROR(INDEX('Price Matrix'!A:E, MATCH(B198, 'Price Matrix'!B:B, 0), 5),"")</f>
        <v>8.97</v>
      </c>
      <c r="J198" s="12">
        <f t="shared" si="1"/>
        <v>0</v>
      </c>
      <c r="K198" s="12">
        <f>E198*('Reality Constants'!$B$3 * 'Reality Constants'!$B$3)*'Reality Constants'!$B$8</f>
        <v>0</v>
      </c>
    </row>
    <row r="199" ht="22.5" customHeight="1">
      <c r="A199" s="6" t="s">
        <v>282</v>
      </c>
      <c r="B199" s="6" t="s">
        <v>287</v>
      </c>
      <c r="C199" s="11">
        <v>147.914832</v>
      </c>
      <c r="D199" s="11">
        <v>11.3</v>
      </c>
      <c r="E199" s="12">
        <f>C199*'Reality Constants'!$B$2</f>
        <v>0</v>
      </c>
      <c r="F199" s="12">
        <f>E199 * ('Reality Constants'!$B$3 * 2)</f>
        <v>0</v>
      </c>
      <c r="G199" s="12">
        <f>F199 / 'Reality Constants'!$B$4</f>
        <v>919.1811881</v>
      </c>
      <c r="H199" s="12">
        <f>F199 / 'Reality Constants'!$B$5</f>
        <v>0</v>
      </c>
      <c r="I199" s="13">
        <f t="array" ref="I199">IFERROR(INDEX('Price Matrix'!A:E, MATCH(B199, 'Price Matrix'!B:B, 0), 5),"")</f>
        <v>8.97</v>
      </c>
      <c r="J199" s="12">
        <f t="shared" si="1"/>
        <v>0</v>
      </c>
      <c r="K199" s="12">
        <f>E199*('Reality Constants'!$B$3 * 'Reality Constants'!$B$3)*'Reality Constants'!$B$8</f>
        <v>0</v>
      </c>
    </row>
    <row r="200" ht="22.5" customHeight="1">
      <c r="A200" s="6" t="s">
        <v>277</v>
      </c>
      <c r="B200" s="6" t="s">
        <v>288</v>
      </c>
      <c r="C200" s="11">
        <v>147.916901</v>
      </c>
      <c r="D200" s="11">
        <v>5.76</v>
      </c>
      <c r="E200" s="12">
        <f>C200*'Reality Constants'!$B$2</f>
        <v>0</v>
      </c>
      <c r="F200" s="12">
        <f>E200 * ('Reality Constants'!$B$3 * 2)</f>
        <v>0</v>
      </c>
      <c r="G200" s="12">
        <f>F200 / 'Reality Constants'!$B$4</f>
        <v>919.1940454</v>
      </c>
      <c r="H200" s="12">
        <f>F200 / 'Reality Constants'!$B$5</f>
        <v>0</v>
      </c>
      <c r="I200" s="13">
        <f t="array" ref="I200">IFERROR(INDEX('Price Matrix'!A:E, MATCH(B200, 'Price Matrix'!B:B, 0), 5),"")</f>
        <v>80.49</v>
      </c>
      <c r="J200" s="12">
        <f t="shared" si="1"/>
        <v>0</v>
      </c>
      <c r="K200" s="12">
        <f>E200*('Reality Constants'!$B$3 * 'Reality Constants'!$B$3)*'Reality Constants'!$B$8</f>
        <v>0</v>
      </c>
    </row>
    <row r="201" ht="22.5" customHeight="1">
      <c r="A201" s="6" t="s">
        <v>282</v>
      </c>
      <c r="B201" s="6" t="s">
        <v>289</v>
      </c>
      <c r="C201" s="11">
        <v>148.917193</v>
      </c>
      <c r="D201" s="11">
        <v>13.8</v>
      </c>
      <c r="E201" s="12">
        <f>C201*'Reality Constants'!$B$2</f>
        <v>0</v>
      </c>
      <c r="F201" s="12">
        <f>E201 * ('Reality Constants'!$B$3 * 2)</f>
        <v>0</v>
      </c>
      <c r="G201" s="12">
        <f>F201 / 'Reality Constants'!$B$4</f>
        <v>925.4101197</v>
      </c>
      <c r="H201" s="12">
        <f>F201 / 'Reality Constants'!$B$5</f>
        <v>0</v>
      </c>
      <c r="I201" s="13">
        <f t="array" ref="I201">IFERROR(INDEX('Price Matrix'!A:E, MATCH(B201, 'Price Matrix'!B:B, 0), 5),"")</f>
        <v>8.97</v>
      </c>
      <c r="J201" s="12">
        <f t="shared" si="1"/>
        <v>0</v>
      </c>
      <c r="K201" s="12">
        <f>E201*('Reality Constants'!$B$3 * 'Reality Constants'!$B$3)*'Reality Constants'!$B$8</f>
        <v>0</v>
      </c>
    </row>
    <row r="202" ht="22.5" customHeight="1">
      <c r="A202" s="6" t="s">
        <v>282</v>
      </c>
      <c r="B202" s="6" t="s">
        <v>290</v>
      </c>
      <c r="C202" s="11">
        <v>149.917285</v>
      </c>
      <c r="D202" s="11">
        <v>7.4</v>
      </c>
      <c r="E202" s="12">
        <f>C202*'Reality Constants'!$B$2</f>
        <v>0</v>
      </c>
      <c r="F202" s="12">
        <f>E202 * ('Reality Constants'!$B$3 * 2)</f>
        <v>0</v>
      </c>
      <c r="G202" s="12">
        <f>F202 / 'Reality Constants'!$B$4</f>
        <v>931.6249512</v>
      </c>
      <c r="H202" s="12">
        <f>F202 / 'Reality Constants'!$B$5</f>
        <v>0</v>
      </c>
      <c r="I202" s="13">
        <f t="array" ref="I202">IFERROR(INDEX('Price Matrix'!A:E, MATCH(B202, 'Price Matrix'!B:B, 0), 5),"")</f>
        <v>8.97</v>
      </c>
      <c r="J202" s="12">
        <f t="shared" si="1"/>
        <v>0</v>
      </c>
      <c r="K202" s="12">
        <f>E202*('Reality Constants'!$B$3 * 'Reality Constants'!$B$3)*'Reality Constants'!$B$8</f>
        <v>0</v>
      </c>
    </row>
    <row r="203" ht="22.5" customHeight="1">
      <c r="A203" s="6" t="s">
        <v>277</v>
      </c>
      <c r="B203" s="6" t="s">
        <v>291</v>
      </c>
      <c r="C203" s="11">
        <v>149.9209</v>
      </c>
      <c r="D203" s="11">
        <v>5.64</v>
      </c>
      <c r="E203" s="12">
        <f>C203*'Reality Constants'!$B$2</f>
        <v>0</v>
      </c>
      <c r="F203" s="12">
        <f>E203 * ('Reality Constants'!$B$3 * 2)</f>
        <v>0</v>
      </c>
      <c r="G203" s="12">
        <f>F203 / 'Reality Constants'!$B$4</f>
        <v>931.6474157</v>
      </c>
      <c r="H203" s="12">
        <f>F203 / 'Reality Constants'!$B$5</f>
        <v>0</v>
      </c>
      <c r="I203" s="13">
        <f t="array" ref="I203">IFERROR(INDEX('Price Matrix'!A:E, MATCH(B203, 'Price Matrix'!B:B, 0), 5),"")</f>
        <v>80.49</v>
      </c>
      <c r="J203" s="12">
        <f t="shared" si="1"/>
        <v>0</v>
      </c>
      <c r="K203" s="12">
        <f>E203*('Reality Constants'!$B$3 * 'Reality Constants'!$B$3)*'Reality Constants'!$B$8</f>
        <v>0</v>
      </c>
    </row>
    <row r="204" ht="22.5" customHeight="1">
      <c r="A204" s="6" t="s">
        <v>292</v>
      </c>
      <c r="B204" s="6" t="s">
        <v>293</v>
      </c>
      <c r="C204" s="11">
        <v>150.91986</v>
      </c>
      <c r="D204" s="11">
        <v>47.8</v>
      </c>
      <c r="E204" s="12">
        <f>C204*'Reality Constants'!$B$2</f>
        <v>0</v>
      </c>
      <c r="F204" s="12">
        <f>E204 * ('Reality Constants'!$B$3 * 2)</f>
        <v>0</v>
      </c>
      <c r="G204" s="12">
        <f>F204 / 'Reality Constants'!$B$4</f>
        <v>937.8552126</v>
      </c>
      <c r="H204" s="12">
        <f>F204 / 'Reality Constants'!$B$5</f>
        <v>0</v>
      </c>
      <c r="I204" s="13">
        <f t="array" ref="I204">IFERROR(INDEX('Price Matrix'!A:E, MATCH(B204, 'Price Matrix'!B:B, 0), 5),"")</f>
        <v>19.66</v>
      </c>
      <c r="J204" s="12">
        <f t="shared" si="1"/>
        <v>0</v>
      </c>
      <c r="K204" s="12">
        <f>E204*('Reality Constants'!$B$3 * 'Reality Constants'!$B$3)*'Reality Constants'!$B$8</f>
        <v>0</v>
      </c>
    </row>
    <row r="205" ht="22.5" customHeight="1">
      <c r="A205" s="6" t="s">
        <v>282</v>
      </c>
      <c r="B205" s="6" t="s">
        <v>294</v>
      </c>
      <c r="C205" s="11">
        <v>151.919741</v>
      </c>
      <c r="D205" s="11">
        <v>26.7</v>
      </c>
      <c r="E205" s="12">
        <f>C205*'Reality Constants'!$B$2</f>
        <v>0</v>
      </c>
      <c r="F205" s="12">
        <f>E205 * ('Reality Constants'!$B$3 * 2)</f>
        <v>0</v>
      </c>
      <c r="G205" s="12">
        <f>F205 / 'Reality Constants'!$B$4</f>
        <v>944.0687329</v>
      </c>
      <c r="H205" s="12">
        <f>F205 / 'Reality Constants'!$B$5</f>
        <v>0</v>
      </c>
      <c r="I205" s="13">
        <f t="array" ref="I205">IFERROR(INDEX('Price Matrix'!A:E, MATCH(B205, 'Price Matrix'!B:B, 0), 5),"")</f>
        <v>8.97</v>
      </c>
      <c r="J205" s="12">
        <f t="shared" si="1"/>
        <v>0</v>
      </c>
      <c r="K205" s="12">
        <f>E205*('Reality Constants'!$B$3 * 'Reality Constants'!$B$3)*'Reality Constants'!$B$8</f>
        <v>0</v>
      </c>
    </row>
    <row r="206" ht="22.5" customHeight="1">
      <c r="A206" s="6" t="s">
        <v>295</v>
      </c>
      <c r="B206" s="6" t="s">
        <v>296</v>
      </c>
      <c r="C206" s="11">
        <v>151.919803</v>
      </c>
      <c r="D206" s="11">
        <v>0.2</v>
      </c>
      <c r="E206" s="12">
        <f>C206*'Reality Constants'!$B$2</f>
        <v>0</v>
      </c>
      <c r="F206" s="12">
        <f>E206 * ('Reality Constants'!$B$3 * 2)</f>
        <v>0</v>
      </c>
      <c r="G206" s="12">
        <f>F206 / 'Reality Constants'!$B$4</f>
        <v>944.0691182</v>
      </c>
      <c r="H206" s="12">
        <f>F206 / 'Reality Constants'!$B$5</f>
        <v>0</v>
      </c>
      <c r="I206" s="13">
        <f t="array" ref="I206">IFERROR(INDEX('Price Matrix'!A:E, MATCH(B206, 'Price Matrix'!B:B, 0), 5),"")</f>
        <v>20.09</v>
      </c>
      <c r="J206" s="12">
        <f t="shared" si="1"/>
        <v>0</v>
      </c>
      <c r="K206" s="12">
        <f>E206*('Reality Constants'!$B$3 * 'Reality Constants'!$B$3)*'Reality Constants'!$B$8</f>
        <v>0</v>
      </c>
    </row>
    <row r="207" ht="22.5" customHeight="1">
      <c r="A207" s="6" t="s">
        <v>292</v>
      </c>
      <c r="B207" s="6" t="s">
        <v>297</v>
      </c>
      <c r="C207" s="11">
        <v>152.921243</v>
      </c>
      <c r="D207" s="11">
        <v>52.2</v>
      </c>
      <c r="E207" s="12">
        <f>C207*'Reality Constants'!$B$2</f>
        <v>0</v>
      </c>
      <c r="F207" s="12">
        <f>E207 * ('Reality Constants'!$B$3 * 2)</f>
        <v>0</v>
      </c>
      <c r="G207" s="12">
        <f>F207 / 'Reality Constants'!$B$4</f>
        <v>950.2923265</v>
      </c>
      <c r="H207" s="12">
        <f>F207 / 'Reality Constants'!$B$5</f>
        <v>0</v>
      </c>
      <c r="I207" s="13">
        <f t="array" ref="I207">IFERROR(INDEX('Price Matrix'!A:E, MATCH(B207, 'Price Matrix'!B:B, 0), 5),"")</f>
        <v>19.66</v>
      </c>
      <c r="J207" s="12">
        <f t="shared" si="1"/>
        <v>0</v>
      </c>
      <c r="K207" s="12">
        <f>E207*('Reality Constants'!$B$3 * 'Reality Constants'!$B$3)*'Reality Constants'!$B$8</f>
        <v>0</v>
      </c>
    </row>
    <row r="208" ht="22.5" customHeight="1">
      <c r="A208" s="6" t="s">
        <v>295</v>
      </c>
      <c r="B208" s="6" t="s">
        <v>298</v>
      </c>
      <c r="C208" s="11">
        <v>153.920876</v>
      </c>
      <c r="D208" s="11">
        <v>2.18</v>
      </c>
      <c r="E208" s="12">
        <f>C208*'Reality Constants'!$B$2</f>
        <v>0</v>
      </c>
      <c r="F208" s="12">
        <f>E208 * ('Reality Constants'!$B$3 * 2)</f>
        <v>0</v>
      </c>
      <c r="G208" s="12">
        <f>F208 / 'Reality Constants'!$B$4</f>
        <v>956.5043056</v>
      </c>
      <c r="H208" s="12">
        <f>F208 / 'Reality Constants'!$B$5</f>
        <v>0</v>
      </c>
      <c r="I208" s="13">
        <f t="array" ref="I208">IFERROR(INDEX('Price Matrix'!A:E, MATCH(B208, 'Price Matrix'!B:B, 0), 5),"")</f>
        <v>20.09</v>
      </c>
      <c r="J208" s="12">
        <f t="shared" si="1"/>
        <v>0</v>
      </c>
      <c r="K208" s="12">
        <f>E208*('Reality Constants'!$B$3 * 'Reality Constants'!$B$3)*'Reality Constants'!$B$8</f>
        <v>0</v>
      </c>
    </row>
    <row r="209" ht="22.5" customHeight="1">
      <c r="A209" s="6" t="s">
        <v>282</v>
      </c>
      <c r="B209" s="6" t="s">
        <v>299</v>
      </c>
      <c r="C209" s="11">
        <v>153.922218</v>
      </c>
      <c r="D209" s="11">
        <v>22.7</v>
      </c>
      <c r="E209" s="12">
        <f>C209*'Reality Constants'!$B$2</f>
        <v>0</v>
      </c>
      <c r="F209" s="12">
        <f>E209 * ('Reality Constants'!$B$3 * 2)</f>
        <v>0</v>
      </c>
      <c r="G209" s="12">
        <f>F209 / 'Reality Constants'!$B$4</f>
        <v>956.5126451</v>
      </c>
      <c r="H209" s="12">
        <f>F209 / 'Reality Constants'!$B$5</f>
        <v>0</v>
      </c>
      <c r="I209" s="13">
        <f t="array" ref="I209">IFERROR(INDEX('Price Matrix'!A:E, MATCH(B209, 'Price Matrix'!B:B, 0), 5),"")</f>
        <v>8.97</v>
      </c>
      <c r="J209" s="12">
        <f t="shared" si="1"/>
        <v>0</v>
      </c>
      <c r="K209" s="12">
        <f>E209*('Reality Constants'!$B$3 * 'Reality Constants'!$B$3)*'Reality Constants'!$B$8</f>
        <v>0</v>
      </c>
    </row>
    <row r="210" ht="22.5" customHeight="1">
      <c r="A210" s="6" t="s">
        <v>295</v>
      </c>
      <c r="B210" s="6" t="s">
        <v>300</v>
      </c>
      <c r="C210" s="11">
        <v>154.822629</v>
      </c>
      <c r="D210" s="11">
        <v>14.8</v>
      </c>
      <c r="E210" s="12">
        <f>C210*'Reality Constants'!$B$2</f>
        <v>0</v>
      </c>
      <c r="F210" s="12">
        <f>E210 * ('Reality Constants'!$B$3 * 2)</f>
        <v>0</v>
      </c>
      <c r="G210" s="12">
        <f>F210 / 'Reality Constants'!$B$4</f>
        <v>962.108033</v>
      </c>
      <c r="H210" s="12">
        <f>F210 / 'Reality Constants'!$B$5</f>
        <v>0</v>
      </c>
      <c r="I210" s="13">
        <f t="array" ref="I210">IFERROR(INDEX('Price Matrix'!A:E, MATCH(B210, 'Price Matrix'!B:B, 0), 5),"")</f>
        <v>20.09</v>
      </c>
      <c r="J210" s="12">
        <f t="shared" si="1"/>
        <v>0</v>
      </c>
      <c r="K210" s="12">
        <f>E210*('Reality Constants'!$B$3 * 'Reality Constants'!$B$3)*'Reality Constants'!$B$8</f>
        <v>0</v>
      </c>
    </row>
    <row r="211" ht="22.5" customHeight="1">
      <c r="A211" s="6" t="s">
        <v>295</v>
      </c>
      <c r="B211" s="6" t="s">
        <v>301</v>
      </c>
      <c r="C211" s="11">
        <v>155.92213</v>
      </c>
      <c r="D211" s="11">
        <v>20.47</v>
      </c>
      <c r="E211" s="12">
        <f>C211*'Reality Constants'!$B$2</f>
        <v>0</v>
      </c>
      <c r="F211" s="12">
        <f>E211 * ('Reality Constants'!$B$3 * 2)</f>
        <v>0</v>
      </c>
      <c r="G211" s="12">
        <f>F211 / 'Reality Constants'!$B$4</f>
        <v>968.9406178</v>
      </c>
      <c r="H211" s="12">
        <f>F211 / 'Reality Constants'!$B$5</f>
        <v>0</v>
      </c>
      <c r="I211" s="13">
        <f t="array" ref="I211">IFERROR(INDEX('Price Matrix'!A:E, MATCH(B211, 'Price Matrix'!B:B, 0), 5),"")</f>
        <v>20.09</v>
      </c>
      <c r="J211" s="12">
        <f t="shared" si="1"/>
        <v>0</v>
      </c>
      <c r="K211" s="12">
        <f>E211*('Reality Constants'!$B$3 * 'Reality Constants'!$B$3)*'Reality Constants'!$B$8</f>
        <v>0</v>
      </c>
    </row>
    <row r="212" ht="22.5" customHeight="1">
      <c r="A212" s="6" t="s">
        <v>302</v>
      </c>
      <c r="B212" s="6" t="s">
        <v>303</v>
      </c>
      <c r="C212" s="11">
        <v>155.924287</v>
      </c>
      <c r="D212" s="11">
        <v>0.06</v>
      </c>
      <c r="E212" s="12">
        <f>C212*'Reality Constants'!$B$2</f>
        <v>0</v>
      </c>
      <c r="F212" s="12">
        <f>E212 * ('Reality Constants'!$B$3 * 2)</f>
        <v>0</v>
      </c>
      <c r="G212" s="12">
        <f>F212 / 'Reality Constants'!$B$4</f>
        <v>968.954022</v>
      </c>
      <c r="H212" s="12">
        <f>F212 / 'Reality Constants'!$B$5</f>
        <v>0</v>
      </c>
      <c r="I212" s="13">
        <f t="array" ref="I212">IFERROR(INDEX('Price Matrix'!A:E, MATCH(B212, 'Price Matrix'!B:B, 0), 5),"")</f>
        <v>247</v>
      </c>
      <c r="J212" s="12">
        <f t="shared" si="1"/>
        <v>0</v>
      </c>
      <c r="K212" s="12">
        <f>E212*('Reality Constants'!$B$3 * 'Reality Constants'!$B$3)*'Reality Constants'!$B$8</f>
        <v>0</v>
      </c>
    </row>
    <row r="213" ht="22.5" customHeight="1">
      <c r="A213" s="6" t="s">
        <v>295</v>
      </c>
      <c r="B213" s="6" t="s">
        <v>304</v>
      </c>
      <c r="C213" s="11">
        <v>156.923967</v>
      </c>
      <c r="D213" s="11">
        <v>15.65</v>
      </c>
      <c r="E213" s="12">
        <f>C213*'Reality Constants'!$B$2</f>
        <v>0</v>
      </c>
      <c r="F213" s="12">
        <f>E213 * ('Reality Constants'!$B$3 * 2)</f>
        <v>0</v>
      </c>
      <c r="G213" s="12">
        <f>F213 / 'Reality Constants'!$B$4</f>
        <v>975.1662932</v>
      </c>
      <c r="H213" s="12">
        <f>F213 / 'Reality Constants'!$B$5</f>
        <v>0</v>
      </c>
      <c r="I213" s="13">
        <f t="array" ref="I213">IFERROR(INDEX('Price Matrix'!A:E, MATCH(B213, 'Price Matrix'!B:B, 0), 5),"")</f>
        <v>20.09</v>
      </c>
      <c r="J213" s="12">
        <f t="shared" si="1"/>
        <v>0</v>
      </c>
      <c r="K213" s="12">
        <f>E213*('Reality Constants'!$B$3 * 'Reality Constants'!$B$3)*'Reality Constants'!$B$8</f>
        <v>0</v>
      </c>
    </row>
    <row r="214" ht="22.5" customHeight="1">
      <c r="A214" s="6" t="s">
        <v>295</v>
      </c>
      <c r="B214" s="6" t="s">
        <v>305</v>
      </c>
      <c r="C214" s="11">
        <v>157.924111</v>
      </c>
      <c r="D214" s="11">
        <v>24.84</v>
      </c>
      <c r="E214" s="12">
        <f>C214*'Reality Constants'!$B$2</f>
        <v>0</v>
      </c>
      <c r="F214" s="12">
        <f>E214 * ('Reality Constants'!$B$3 * 2)</f>
        <v>0</v>
      </c>
      <c r="G214" s="12">
        <f>F214 / 'Reality Constants'!$B$4</f>
        <v>981.3814478</v>
      </c>
      <c r="H214" s="12">
        <f>F214 / 'Reality Constants'!$B$5</f>
        <v>0</v>
      </c>
      <c r="I214" s="13">
        <f t="array" ref="I214">IFERROR(INDEX('Price Matrix'!A:E, MATCH(B214, 'Price Matrix'!B:B, 0), 5),"")</f>
        <v>20.09</v>
      </c>
      <c r="J214" s="12">
        <f t="shared" si="1"/>
        <v>0</v>
      </c>
      <c r="K214" s="12">
        <f>E214*('Reality Constants'!$B$3 * 'Reality Constants'!$B$3)*'Reality Constants'!$B$8</f>
        <v>0</v>
      </c>
    </row>
    <row r="215" ht="22.5" customHeight="1">
      <c r="A215" s="6" t="s">
        <v>302</v>
      </c>
      <c r="B215" s="6" t="s">
        <v>306</v>
      </c>
      <c r="C215" s="11">
        <v>157.924412</v>
      </c>
      <c r="D215" s="11">
        <v>0.1</v>
      </c>
      <c r="E215" s="12">
        <f>C215*'Reality Constants'!$B$2</f>
        <v>0</v>
      </c>
      <c r="F215" s="12">
        <f>E215 * ('Reality Constants'!$B$3 * 2)</f>
        <v>0</v>
      </c>
      <c r="G215" s="12">
        <f>F215 / 'Reality Constants'!$B$4</f>
        <v>981.3833183</v>
      </c>
      <c r="H215" s="12">
        <f>F215 / 'Reality Constants'!$B$5</f>
        <v>0</v>
      </c>
      <c r="I215" s="13">
        <f t="array" ref="I215">IFERROR(INDEX('Price Matrix'!A:E, MATCH(B215, 'Price Matrix'!B:B, 0), 5),"")</f>
        <v>247</v>
      </c>
      <c r="J215" s="12">
        <f t="shared" si="1"/>
        <v>0</v>
      </c>
      <c r="K215" s="12">
        <f>E215*('Reality Constants'!$B$3 * 'Reality Constants'!$B$3)*'Reality Constants'!$B$8</f>
        <v>0</v>
      </c>
    </row>
    <row r="216" ht="22.5" customHeight="1">
      <c r="A216" s="6" t="s">
        <v>307</v>
      </c>
      <c r="B216" s="6" t="s">
        <v>308</v>
      </c>
      <c r="C216" s="11">
        <v>158.92535</v>
      </c>
      <c r="D216" s="11">
        <v>100.0</v>
      </c>
      <c r="E216" s="12">
        <f>C216*'Reality Constants'!$B$2</f>
        <v>0</v>
      </c>
      <c r="F216" s="12">
        <f>E216 * ('Reality Constants'!$B$3 * 2)</f>
        <v>0</v>
      </c>
      <c r="G216" s="12">
        <f>F216 / 'Reality Constants'!$B$4</f>
        <v>987.603407</v>
      </c>
      <c r="H216" s="12">
        <f>F216 / 'Reality Constants'!$B$5</f>
        <v>0</v>
      </c>
      <c r="I216" s="13">
        <f t="array" ref="I216">IFERROR(INDEX('Price Matrix'!A:E, MATCH(B216, 'Price Matrix'!B:B, 0), 5),"")</f>
        <v>1066.03</v>
      </c>
      <c r="J216" s="12">
        <f t="shared" si="1"/>
        <v>0</v>
      </c>
      <c r="K216" s="12">
        <f>E216*('Reality Constants'!$B$3 * 'Reality Constants'!$B$3)*'Reality Constants'!$B$8</f>
        <v>0</v>
      </c>
    </row>
    <row r="217" ht="22.5" customHeight="1">
      <c r="A217" s="6" t="s">
        <v>302</v>
      </c>
      <c r="B217" s="6" t="s">
        <v>309</v>
      </c>
      <c r="C217" s="11">
        <v>159.925203</v>
      </c>
      <c r="D217" s="11">
        <v>2.34</v>
      </c>
      <c r="E217" s="12">
        <f>C217*'Reality Constants'!$B$2</f>
        <v>0</v>
      </c>
      <c r="F217" s="12">
        <f>E217 * ('Reality Constants'!$B$3 * 2)</f>
        <v>0</v>
      </c>
      <c r="G217" s="12">
        <f>F217 / 'Reality Constants'!$B$4</f>
        <v>993.8167533</v>
      </c>
      <c r="H217" s="12">
        <f>F217 / 'Reality Constants'!$B$5</f>
        <v>0</v>
      </c>
      <c r="I217" s="13">
        <f t="array" ref="I217">IFERROR(INDEX('Price Matrix'!A:E, MATCH(B217, 'Price Matrix'!B:B, 0), 5),"")</f>
        <v>247</v>
      </c>
      <c r="J217" s="12">
        <f t="shared" si="1"/>
        <v>0</v>
      </c>
      <c r="K217" s="12">
        <f>E217*('Reality Constants'!$B$3 * 'Reality Constants'!$B$3)*'Reality Constants'!$B$8</f>
        <v>0</v>
      </c>
    </row>
    <row r="218" ht="22.5" customHeight="1">
      <c r="A218" s="6" t="s">
        <v>295</v>
      </c>
      <c r="B218" s="6" t="s">
        <v>310</v>
      </c>
      <c r="C218" s="11">
        <v>159.927061</v>
      </c>
      <c r="D218" s="11">
        <v>21.86</v>
      </c>
      <c r="E218" s="12">
        <f>C218*'Reality Constants'!$B$2</f>
        <v>0</v>
      </c>
      <c r="F218" s="12">
        <f>E218 * ('Reality Constants'!$B$3 * 2)</f>
        <v>0</v>
      </c>
      <c r="G218" s="12">
        <f>F218 / 'Reality Constants'!$B$4</f>
        <v>993.8282994</v>
      </c>
      <c r="H218" s="12">
        <f>F218 / 'Reality Constants'!$B$5</f>
        <v>0</v>
      </c>
      <c r="I218" s="13">
        <f t="array" ref="I218">IFERROR(INDEX('Price Matrix'!A:E, MATCH(B218, 'Price Matrix'!B:B, 0), 5),"")</f>
        <v>20.09</v>
      </c>
      <c r="J218" s="12">
        <f t="shared" si="1"/>
        <v>0</v>
      </c>
      <c r="K218" s="12">
        <f>E218*('Reality Constants'!$B$3 * 'Reality Constants'!$B$3)*'Reality Constants'!$B$8</f>
        <v>0</v>
      </c>
    </row>
    <row r="219" ht="22.5" customHeight="1">
      <c r="A219" s="6" t="s">
        <v>302</v>
      </c>
      <c r="B219" s="6" t="s">
        <v>311</v>
      </c>
      <c r="C219" s="11">
        <v>160.926939</v>
      </c>
      <c r="D219" s="11">
        <v>18.9</v>
      </c>
      <c r="E219" s="12">
        <f>C219*'Reality Constants'!$B$2</f>
        <v>0</v>
      </c>
      <c r="F219" s="12">
        <f>E219 * ('Reality Constants'!$B$3 * 2)</f>
        <v>0</v>
      </c>
      <c r="G219" s="12">
        <f>F219 / 'Reality Constants'!$B$4</f>
        <v>1000.041801</v>
      </c>
      <c r="H219" s="12">
        <f>F219 / 'Reality Constants'!$B$5</f>
        <v>0</v>
      </c>
      <c r="I219" s="13">
        <f t="array" ref="I219">IFERROR(INDEX('Price Matrix'!A:E, MATCH(B219, 'Price Matrix'!B:B, 0), 5),"")</f>
        <v>247</v>
      </c>
      <c r="J219" s="12">
        <f t="shared" si="1"/>
        <v>0</v>
      </c>
      <c r="K219" s="12">
        <f>E219*('Reality Constants'!$B$3 * 'Reality Constants'!$B$3)*'Reality Constants'!$B$8</f>
        <v>0</v>
      </c>
    </row>
    <row r="220" ht="22.5" customHeight="1">
      <c r="A220" s="6" t="s">
        <v>302</v>
      </c>
      <c r="B220" s="6" t="s">
        <v>312</v>
      </c>
      <c r="C220" s="11">
        <v>161.926805</v>
      </c>
      <c r="D220" s="11">
        <v>25.5</v>
      </c>
      <c r="E220" s="12">
        <f>C220*'Reality Constants'!$B$2</f>
        <v>0</v>
      </c>
      <c r="F220" s="12">
        <f>E220 * ('Reality Constants'!$B$3 * 2)</f>
        <v>0</v>
      </c>
      <c r="G220" s="12">
        <f>F220 / 'Reality Constants'!$B$4</f>
        <v>1006.255228</v>
      </c>
      <c r="H220" s="12">
        <f>F220 / 'Reality Constants'!$B$5</f>
        <v>0</v>
      </c>
      <c r="I220" s="13">
        <f t="array" ref="I220">IFERROR(INDEX('Price Matrix'!A:E, MATCH(B220, 'Price Matrix'!B:B, 0), 5),"")</f>
        <v>247</v>
      </c>
      <c r="J220" s="12">
        <f t="shared" si="1"/>
        <v>0</v>
      </c>
      <c r="K220" s="12">
        <f>E220*('Reality Constants'!$B$3 * 'Reality Constants'!$B$3)*'Reality Constants'!$B$8</f>
        <v>0</v>
      </c>
    </row>
    <row r="221" ht="22.5" customHeight="1">
      <c r="A221" s="6" t="s">
        <v>313</v>
      </c>
      <c r="B221" s="6" t="s">
        <v>314</v>
      </c>
      <c r="C221" s="11">
        <v>161.928787</v>
      </c>
      <c r="D221" s="11">
        <v>0.14</v>
      </c>
      <c r="E221" s="12">
        <f>C221*'Reality Constants'!$B$2</f>
        <v>0</v>
      </c>
      <c r="F221" s="12">
        <f>E221 * ('Reality Constants'!$B$3 * 2)</f>
        <v>0</v>
      </c>
      <c r="G221" s="12">
        <f>F221 / 'Reality Constants'!$B$4</f>
        <v>1006.267545</v>
      </c>
      <c r="H221" s="12">
        <f>F221 / 'Reality Constants'!$B$5</f>
        <v>0</v>
      </c>
      <c r="I221" s="13">
        <f t="array" ref="I221">IFERROR(INDEX('Price Matrix'!A:E, MATCH(B221, 'Price Matrix'!B:B, 0), 5),"")</f>
        <v>39.63</v>
      </c>
      <c r="J221" s="12">
        <f t="shared" si="1"/>
        <v>0</v>
      </c>
      <c r="K221" s="12">
        <f>E221*('Reality Constants'!$B$3 * 'Reality Constants'!$B$3)*'Reality Constants'!$B$8</f>
        <v>0</v>
      </c>
    </row>
    <row r="222" ht="22.5" customHeight="1">
      <c r="A222" s="6" t="s">
        <v>302</v>
      </c>
      <c r="B222" s="6" t="s">
        <v>315</v>
      </c>
      <c r="C222" s="11">
        <v>162.928737</v>
      </c>
      <c r="D222" s="11">
        <v>24.9</v>
      </c>
      <c r="E222" s="12">
        <f>C222*'Reality Constants'!$B$2</f>
        <v>0</v>
      </c>
      <c r="F222" s="12">
        <f>E222 * ('Reality Constants'!$B$3 * 2)</f>
        <v>0</v>
      </c>
      <c r="G222" s="12">
        <f>F222 / 'Reality Constants'!$B$4</f>
        <v>1012.481494</v>
      </c>
      <c r="H222" s="12">
        <f>F222 / 'Reality Constants'!$B$5</f>
        <v>0</v>
      </c>
      <c r="I222" s="13">
        <f t="array" ref="I222">IFERROR(INDEX('Price Matrix'!A:E, MATCH(B222, 'Price Matrix'!B:B, 0), 5),"")</f>
        <v>247</v>
      </c>
      <c r="J222" s="12">
        <f t="shared" si="1"/>
        <v>0</v>
      </c>
      <c r="K222" s="12">
        <f>E222*('Reality Constants'!$B$3 * 'Reality Constants'!$B$3)*'Reality Constants'!$B$8</f>
        <v>0</v>
      </c>
    </row>
    <row r="223" ht="22.5" customHeight="1">
      <c r="A223" s="6" t="s">
        <v>302</v>
      </c>
      <c r="B223" s="6" t="s">
        <v>316</v>
      </c>
      <c r="C223" s="11">
        <v>163.929183</v>
      </c>
      <c r="D223" s="11">
        <v>28.2</v>
      </c>
      <c r="E223" s="12">
        <f>C223*'Reality Constants'!$B$2</f>
        <v>0</v>
      </c>
      <c r="F223" s="12">
        <f>E223 * ('Reality Constants'!$B$3 * 2)</f>
        <v>0</v>
      </c>
      <c r="G223" s="12">
        <f>F223 / 'Reality Constants'!$B$4</f>
        <v>1018.698525</v>
      </c>
      <c r="H223" s="12">
        <f>F223 / 'Reality Constants'!$B$5</f>
        <v>0</v>
      </c>
      <c r="I223" s="13">
        <f t="array" ref="I223">IFERROR(INDEX('Price Matrix'!A:E, MATCH(B223, 'Price Matrix'!B:B, 0), 5),"")</f>
        <v>247</v>
      </c>
      <c r="J223" s="12">
        <f t="shared" si="1"/>
        <v>0</v>
      </c>
      <c r="K223" s="12">
        <f>E223*('Reality Constants'!$B$3 * 'Reality Constants'!$B$3)*'Reality Constants'!$B$8</f>
        <v>0</v>
      </c>
    </row>
    <row r="224" ht="22.5" customHeight="1">
      <c r="A224" s="6" t="s">
        <v>313</v>
      </c>
      <c r="B224" s="6" t="s">
        <v>317</v>
      </c>
      <c r="C224" s="11">
        <v>163.929211</v>
      </c>
      <c r="D224" s="11">
        <v>1.61</v>
      </c>
      <c r="E224" s="12">
        <f>C224*'Reality Constants'!$B$2</f>
        <v>0</v>
      </c>
      <c r="F224" s="12">
        <f>E224 * ('Reality Constants'!$B$3 * 2)</f>
        <v>0</v>
      </c>
      <c r="G224" s="12">
        <f>F224 / 'Reality Constants'!$B$4</f>
        <v>1018.698699</v>
      </c>
      <c r="H224" s="12">
        <f>F224 / 'Reality Constants'!$B$5</f>
        <v>0</v>
      </c>
      <c r="I224" s="13">
        <f t="array" ref="I224">IFERROR(INDEX('Price Matrix'!A:E, MATCH(B224, 'Price Matrix'!B:B, 0), 5),"")</f>
        <v>39.63</v>
      </c>
      <c r="J224" s="12">
        <f t="shared" si="1"/>
        <v>0</v>
      </c>
      <c r="K224" s="12">
        <f>E224*('Reality Constants'!$B$3 * 'Reality Constants'!$B$3)*'Reality Constants'!$B$8</f>
        <v>0</v>
      </c>
    </row>
    <row r="225" ht="22.5" customHeight="1">
      <c r="A225" s="6" t="s">
        <v>318</v>
      </c>
      <c r="B225" s="6" t="s">
        <v>319</v>
      </c>
      <c r="C225" s="11">
        <v>164.930332</v>
      </c>
      <c r="D225" s="11">
        <v>100.0</v>
      </c>
      <c r="E225" s="12">
        <f>C225*'Reality Constants'!$B$2</f>
        <v>0</v>
      </c>
      <c r="F225" s="12">
        <f>E225 * ('Reality Constants'!$B$3 * 2)</f>
        <v>0</v>
      </c>
      <c r="G225" s="12">
        <f>F225 / 'Reality Constants'!$B$4</f>
        <v>1024.919925</v>
      </c>
      <c r="H225" s="12">
        <f>F225 / 'Reality Constants'!$B$5</f>
        <v>0</v>
      </c>
      <c r="I225" s="13">
        <f t="array" ref="I225">IFERROR(INDEX('Price Matrix'!A:E, MATCH(B225, 'Price Matrix'!B:B, 0), 5),"")</f>
        <v>62671.31</v>
      </c>
      <c r="J225" s="12">
        <f t="shared" si="1"/>
        <v>0</v>
      </c>
      <c r="K225" s="12">
        <f>E225*('Reality Constants'!$B$3 * 'Reality Constants'!$B$3)*'Reality Constants'!$B$8</f>
        <v>0</v>
      </c>
    </row>
    <row r="226" ht="22.5" customHeight="1">
      <c r="A226" s="6" t="s">
        <v>313</v>
      </c>
      <c r="B226" s="6" t="s">
        <v>320</v>
      </c>
      <c r="C226" s="11">
        <v>165.930305</v>
      </c>
      <c r="D226" s="11">
        <v>33.6</v>
      </c>
      <c r="E226" s="12">
        <f>C226*'Reality Constants'!$B$2</f>
        <v>0</v>
      </c>
      <c r="F226" s="12">
        <f>E226 * ('Reality Constants'!$B$3 * 2)</f>
        <v>0</v>
      </c>
      <c r="G226" s="12">
        <f>F226 / 'Reality Constants'!$B$4</f>
        <v>1031.134017</v>
      </c>
      <c r="H226" s="12">
        <f>F226 / 'Reality Constants'!$B$5</f>
        <v>0</v>
      </c>
      <c r="I226" s="13">
        <f t="array" ref="I226">IFERROR(INDEX('Price Matrix'!A:E, MATCH(B226, 'Price Matrix'!B:B, 0), 5),"")</f>
        <v>39.63</v>
      </c>
      <c r="J226" s="12">
        <f t="shared" si="1"/>
        <v>0</v>
      </c>
      <c r="K226" s="12">
        <f>E226*('Reality Constants'!$B$3 * 'Reality Constants'!$B$3)*'Reality Constants'!$B$8</f>
        <v>0</v>
      </c>
    </row>
    <row r="227" ht="22.5" customHeight="1">
      <c r="A227" s="6" t="s">
        <v>313</v>
      </c>
      <c r="B227" s="6" t="s">
        <v>321</v>
      </c>
      <c r="C227" s="11">
        <v>166.932061</v>
      </c>
      <c r="D227" s="11">
        <v>22.95</v>
      </c>
      <c r="E227" s="12">
        <f>C227*'Reality Constants'!$B$2</f>
        <v>0</v>
      </c>
      <c r="F227" s="12">
        <f>E227 * ('Reality Constants'!$B$3 * 2)</f>
        <v>0</v>
      </c>
      <c r="G227" s="12">
        <f>F227 / 'Reality Constants'!$B$4</f>
        <v>1037.359189</v>
      </c>
      <c r="H227" s="12">
        <f>F227 / 'Reality Constants'!$B$5</f>
        <v>0</v>
      </c>
      <c r="I227" s="13">
        <f t="array" ref="I227">IFERROR(INDEX('Price Matrix'!A:E, MATCH(B227, 'Price Matrix'!B:B, 0), 5),"")</f>
        <v>39.63</v>
      </c>
      <c r="J227" s="12">
        <f t="shared" si="1"/>
        <v>0</v>
      </c>
      <c r="K227" s="12">
        <f>E227*('Reality Constants'!$B$3 * 'Reality Constants'!$B$3)*'Reality Constants'!$B$8</f>
        <v>0</v>
      </c>
    </row>
    <row r="228" ht="22.5" customHeight="1">
      <c r="A228" s="6" t="s">
        <v>313</v>
      </c>
      <c r="B228" s="6" t="s">
        <v>322</v>
      </c>
      <c r="C228" s="11">
        <v>167.932383</v>
      </c>
      <c r="D228" s="11">
        <v>26.8</v>
      </c>
      <c r="E228" s="12">
        <f>C228*'Reality Constants'!$B$2</f>
        <v>0</v>
      </c>
      <c r="F228" s="12">
        <f>E228 * ('Reality Constants'!$B$3 * 2)</f>
        <v>0</v>
      </c>
      <c r="G228" s="12">
        <f>F228 / 'Reality Constants'!$B$4</f>
        <v>1043.57545</v>
      </c>
      <c r="H228" s="12">
        <f>F228 / 'Reality Constants'!$B$5</f>
        <v>0</v>
      </c>
      <c r="I228" s="13">
        <f t="array" ref="I228">IFERROR(INDEX('Price Matrix'!A:E, MATCH(B228, 'Price Matrix'!B:B, 0), 5),"")</f>
        <v>39.63</v>
      </c>
      <c r="J228" s="12">
        <f t="shared" si="1"/>
        <v>0</v>
      </c>
      <c r="K228" s="12">
        <f>E228*('Reality Constants'!$B$3 * 'Reality Constants'!$B$3)*'Reality Constants'!$B$8</f>
        <v>0</v>
      </c>
    </row>
    <row r="229" ht="22.5" customHeight="1">
      <c r="A229" s="6" t="s">
        <v>323</v>
      </c>
      <c r="B229" s="6" t="s">
        <v>324</v>
      </c>
      <c r="C229" s="11">
        <v>167.933908</v>
      </c>
      <c r="D229" s="11">
        <v>0.13</v>
      </c>
      <c r="E229" s="12">
        <f>C229*'Reality Constants'!$B$2</f>
        <v>0</v>
      </c>
      <c r="F229" s="12">
        <f>E229 * ('Reality Constants'!$B$3 * 2)</f>
        <v>0</v>
      </c>
      <c r="G229" s="12">
        <f>F229 / 'Reality Constants'!$B$4</f>
        <v>1043.584926</v>
      </c>
      <c r="H229" s="12">
        <f>F229 / 'Reality Constants'!$B$5</f>
        <v>0</v>
      </c>
      <c r="I229" s="13">
        <f t="array" ref="I229">IFERROR(INDEX('Price Matrix'!A:E, MATCH(B229, 'Price Matrix'!B:B, 0), 5),"")</f>
        <v>12.29</v>
      </c>
      <c r="J229" s="12">
        <f t="shared" si="1"/>
        <v>0</v>
      </c>
      <c r="K229" s="12">
        <f>E229*('Reality Constants'!$B$3 * 'Reality Constants'!$B$3)*'Reality Constants'!$B$8</f>
        <v>0</v>
      </c>
    </row>
    <row r="230" ht="22.5" customHeight="1">
      <c r="A230" s="6" t="s">
        <v>325</v>
      </c>
      <c r="B230" s="6" t="s">
        <v>326</v>
      </c>
      <c r="C230" s="11">
        <v>168.934225</v>
      </c>
      <c r="D230" s="11">
        <v>100.0</v>
      </c>
      <c r="E230" s="12">
        <f>C230*'Reality Constants'!$B$2</f>
        <v>0</v>
      </c>
      <c r="F230" s="12">
        <f>E230 * ('Reality Constants'!$B$3 * 2)</f>
        <v>0</v>
      </c>
      <c r="G230" s="12">
        <f>F230 / 'Reality Constants'!$B$4</f>
        <v>1049.801156</v>
      </c>
      <c r="H230" s="12">
        <f>F230 / 'Reality Constants'!$B$5</f>
        <v>0</v>
      </c>
      <c r="I230" s="13">
        <f t="array" ref="I230">IFERROR(INDEX('Price Matrix'!A:E, MATCH(B230, 'Price Matrix'!B:B, 0), 5),"")</f>
        <v>6200</v>
      </c>
      <c r="J230" s="12">
        <f t="shared" si="1"/>
        <v>0</v>
      </c>
      <c r="K230" s="12">
        <f>E230*('Reality Constants'!$B$3 * 'Reality Constants'!$B$3)*'Reality Constants'!$B$8</f>
        <v>0</v>
      </c>
    </row>
    <row r="231" ht="22.5" customHeight="1">
      <c r="A231" s="6" t="s">
        <v>323</v>
      </c>
      <c r="B231" s="6" t="s">
        <v>327</v>
      </c>
      <c r="C231" s="11">
        <v>169.934774</v>
      </c>
      <c r="D231" s="11">
        <v>3.05</v>
      </c>
      <c r="E231" s="12">
        <f>C231*'Reality Constants'!$B$2</f>
        <v>0</v>
      </c>
      <c r="F231" s="12">
        <f>E231 * ('Reality Constants'!$B$3 * 2)</f>
        <v>0</v>
      </c>
      <c r="G231" s="12">
        <f>F231 / 'Reality Constants'!$B$4</f>
        <v>1056.018828</v>
      </c>
      <c r="H231" s="12">
        <f>F231 / 'Reality Constants'!$B$5</f>
        <v>0</v>
      </c>
      <c r="I231" s="13">
        <f t="array" ref="I231">IFERROR(INDEX('Price Matrix'!A:E, MATCH(B231, 'Price Matrix'!B:B, 0), 5),"")</f>
        <v>12.29</v>
      </c>
      <c r="J231" s="12">
        <f t="shared" si="1"/>
        <v>0</v>
      </c>
      <c r="K231" s="12">
        <f>E231*('Reality Constants'!$B$3 * 'Reality Constants'!$B$3)*'Reality Constants'!$B$8</f>
        <v>0</v>
      </c>
    </row>
    <row r="232" ht="22.5" customHeight="1">
      <c r="A232" s="6" t="s">
        <v>313</v>
      </c>
      <c r="B232" s="6" t="s">
        <v>328</v>
      </c>
      <c r="C232" s="11">
        <v>169.935476</v>
      </c>
      <c r="D232" s="11">
        <v>14.9</v>
      </c>
      <c r="E232" s="12">
        <f>C232*'Reality Constants'!$B$2</f>
        <v>0</v>
      </c>
      <c r="F232" s="12">
        <f>E232 * ('Reality Constants'!$B$3 * 2)</f>
        <v>0</v>
      </c>
      <c r="G232" s="12">
        <f>F232 / 'Reality Constants'!$B$4</f>
        <v>1056.02319</v>
      </c>
      <c r="H232" s="12">
        <f>F232 / 'Reality Constants'!$B$5</f>
        <v>0</v>
      </c>
      <c r="I232" s="13">
        <f t="array" ref="I232">IFERROR(INDEX('Price Matrix'!A:E, MATCH(B232, 'Price Matrix'!B:B, 0), 5),"")</f>
        <v>39.63</v>
      </c>
      <c r="J232" s="12">
        <f t="shared" si="1"/>
        <v>0</v>
      </c>
      <c r="K232" s="12">
        <f>E232*('Reality Constants'!$B$3 * 'Reality Constants'!$B$3)*'Reality Constants'!$B$8</f>
        <v>0</v>
      </c>
    </row>
    <row r="233" ht="22.5" customHeight="1">
      <c r="A233" s="6" t="s">
        <v>323</v>
      </c>
      <c r="B233" s="6" t="s">
        <v>329</v>
      </c>
      <c r="C233" s="11">
        <v>170.936338</v>
      </c>
      <c r="D233" s="11">
        <v>14.3</v>
      </c>
      <c r="E233" s="12">
        <f>C233*'Reality Constants'!$B$2</f>
        <v>0</v>
      </c>
      <c r="F233" s="12">
        <f>E233 * ('Reality Constants'!$B$3 * 2)</f>
        <v>0</v>
      </c>
      <c r="G233" s="12">
        <f>F233 / 'Reality Constants'!$B$4</f>
        <v>1062.242806</v>
      </c>
      <c r="H233" s="12">
        <f>F233 / 'Reality Constants'!$B$5</f>
        <v>0</v>
      </c>
      <c r="I233" s="13">
        <f t="array" ref="I233">IFERROR(INDEX('Price Matrix'!A:E, MATCH(B233, 'Price Matrix'!B:B, 0), 5),"")</f>
        <v>12.29</v>
      </c>
      <c r="J233" s="12">
        <f t="shared" si="1"/>
        <v>0</v>
      </c>
      <c r="K233" s="12">
        <f>E233*('Reality Constants'!$B$3 * 'Reality Constants'!$B$3)*'Reality Constants'!$B$8</f>
        <v>0</v>
      </c>
    </row>
    <row r="234" ht="22.5" customHeight="1">
      <c r="A234" s="6" t="s">
        <v>323</v>
      </c>
      <c r="B234" s="6" t="s">
        <v>330</v>
      </c>
      <c r="C234" s="11">
        <v>171.936393</v>
      </c>
      <c r="D234" s="11">
        <v>21.9</v>
      </c>
      <c r="E234" s="12">
        <f>C234*'Reality Constants'!$B$2</f>
        <v>0</v>
      </c>
      <c r="F234" s="12">
        <f>E234 * ('Reality Constants'!$B$3 * 2)</f>
        <v>0</v>
      </c>
      <c r="G234" s="12">
        <f>F234 / 'Reality Constants'!$B$4</f>
        <v>1068.457408</v>
      </c>
      <c r="H234" s="12">
        <f>F234 / 'Reality Constants'!$B$5</f>
        <v>0</v>
      </c>
      <c r="I234" s="13">
        <f t="array" ref="I234">IFERROR(INDEX('Price Matrix'!A:E, MATCH(B234, 'Price Matrix'!B:B, 0), 5),"")</f>
        <v>12.29</v>
      </c>
      <c r="J234" s="12">
        <f t="shared" si="1"/>
        <v>0</v>
      </c>
      <c r="K234" s="12">
        <f>E234*('Reality Constants'!$B$3 * 'Reality Constants'!$B$3)*'Reality Constants'!$B$8</f>
        <v>0</v>
      </c>
    </row>
    <row r="235" ht="22.5" customHeight="1">
      <c r="A235" s="6" t="s">
        <v>323</v>
      </c>
      <c r="B235" s="6" t="s">
        <v>331</v>
      </c>
      <c r="C235" s="11">
        <v>172.938222</v>
      </c>
      <c r="D235" s="11">
        <v>16.12</v>
      </c>
      <c r="E235" s="12">
        <f>C235*'Reality Constants'!$B$2</f>
        <v>0</v>
      </c>
      <c r="F235" s="12">
        <f>E235 * ('Reality Constants'!$B$3 * 2)</f>
        <v>0</v>
      </c>
      <c r="G235" s="12">
        <f>F235 / 'Reality Constants'!$B$4</f>
        <v>1074.683034</v>
      </c>
      <c r="H235" s="12">
        <f>F235 / 'Reality Constants'!$B$5</f>
        <v>0</v>
      </c>
      <c r="I235" s="13">
        <f t="array" ref="I235">IFERROR(INDEX('Price Matrix'!A:E, MATCH(B235, 'Price Matrix'!B:B, 0), 5),"")</f>
        <v>12.29</v>
      </c>
      <c r="J235" s="12">
        <f t="shared" si="1"/>
        <v>0</v>
      </c>
      <c r="K235" s="12">
        <f>E235*('Reality Constants'!$B$3 * 'Reality Constants'!$B$3)*'Reality Constants'!$B$8</f>
        <v>0</v>
      </c>
    </row>
    <row r="236" ht="22.5" customHeight="1">
      <c r="A236" s="6" t="s">
        <v>323</v>
      </c>
      <c r="B236" s="6" t="s">
        <v>332</v>
      </c>
      <c r="C236" s="11">
        <v>173.938873</v>
      </c>
      <c r="D236" s="11">
        <v>31.8</v>
      </c>
      <c r="E236" s="12">
        <f>C236*'Reality Constants'!$B$2</f>
        <v>0</v>
      </c>
      <c r="F236" s="12">
        <f>E236 * ('Reality Constants'!$B$3 * 2)</f>
        <v>0</v>
      </c>
      <c r="G236" s="12">
        <f>F236 / 'Reality Constants'!$B$4</f>
        <v>1080.901339</v>
      </c>
      <c r="H236" s="12">
        <f>F236 / 'Reality Constants'!$B$5</f>
        <v>0</v>
      </c>
      <c r="I236" s="13">
        <f t="array" ref="I236">IFERROR(INDEX('Price Matrix'!A:E, MATCH(B236, 'Price Matrix'!B:B, 0), 5),"")</f>
        <v>12.29</v>
      </c>
      <c r="J236" s="12">
        <f t="shared" si="1"/>
        <v>0</v>
      </c>
      <c r="K236" s="12">
        <f>E236*('Reality Constants'!$B$3 * 'Reality Constants'!$B$3)*'Reality Constants'!$B$8</f>
        <v>0</v>
      </c>
    </row>
    <row r="237" ht="22.5" customHeight="1">
      <c r="A237" s="6" t="s">
        <v>333</v>
      </c>
      <c r="B237" s="6" t="s">
        <v>334</v>
      </c>
      <c r="C237" s="11">
        <v>173.940065</v>
      </c>
      <c r="D237" s="11">
        <v>0.16</v>
      </c>
      <c r="E237" s="12">
        <f>C237*'Reality Constants'!$B$2</f>
        <v>0</v>
      </c>
      <c r="F237" s="12">
        <f>E237 * ('Reality Constants'!$B$3 * 2)</f>
        <v>0</v>
      </c>
      <c r="G237" s="12">
        <f>F237 / 'Reality Constants'!$B$4</f>
        <v>1080.908746</v>
      </c>
      <c r="H237" s="12">
        <f>F237 / 'Reality Constants'!$B$5</f>
        <v>0</v>
      </c>
      <c r="I237" s="13">
        <f t="array" ref="I237">IFERROR(INDEX('Price Matrix'!A:E, MATCH(B237, 'Price Matrix'!B:B, 0), 5),"")</f>
        <v>850</v>
      </c>
      <c r="J237" s="12">
        <f t="shared" si="1"/>
        <v>0</v>
      </c>
      <c r="K237" s="12">
        <f>E237*('Reality Constants'!$B$3 * 'Reality Constants'!$B$3)*'Reality Constants'!$B$8</f>
        <v>0</v>
      </c>
    </row>
    <row r="238" ht="22.5" customHeight="1">
      <c r="A238" s="6" t="s">
        <v>335</v>
      </c>
      <c r="B238" s="6" t="s">
        <v>336</v>
      </c>
      <c r="C238" s="11">
        <v>174.940785</v>
      </c>
      <c r="D238" s="11">
        <v>97.4</v>
      </c>
      <c r="E238" s="12">
        <f>C238*'Reality Constants'!$B$2</f>
        <v>0</v>
      </c>
      <c r="F238" s="12">
        <f>E238 * ('Reality Constants'!$B$3 * 2)</f>
        <v>0</v>
      </c>
      <c r="G238" s="12">
        <f>F238 / 'Reality Constants'!$B$4</f>
        <v>1087.12748</v>
      </c>
      <c r="H238" s="12">
        <f>F238 / 'Reality Constants'!$B$5</f>
        <v>0</v>
      </c>
      <c r="I238" s="13">
        <f t="array" ref="I238">IFERROR(INDEX('Price Matrix'!A:E, MATCH(B238, 'Price Matrix'!B:B, 0), 5),"")</f>
        <v>632.86</v>
      </c>
      <c r="J238" s="12">
        <f t="shared" si="1"/>
        <v>0</v>
      </c>
      <c r="K238" s="12">
        <f>E238*('Reality Constants'!$B$3 * 'Reality Constants'!$B$3)*'Reality Constants'!$B$8</f>
        <v>0</v>
      </c>
    </row>
    <row r="239" ht="22.5" customHeight="1">
      <c r="A239" s="6" t="s">
        <v>333</v>
      </c>
      <c r="B239" s="6" t="s">
        <v>337</v>
      </c>
      <c r="C239" s="11">
        <v>175.94142</v>
      </c>
      <c r="D239" s="11">
        <v>5.2</v>
      </c>
      <c r="E239" s="12">
        <f>C239*'Reality Constants'!$B$2</f>
        <v>0</v>
      </c>
      <c r="F239" s="12">
        <f>E239 * ('Reality Constants'!$B$3 * 2)</f>
        <v>0</v>
      </c>
      <c r="G239" s="12">
        <f>F239 / 'Reality Constants'!$B$4</f>
        <v>1093.345686</v>
      </c>
      <c r="H239" s="12">
        <f>F239 / 'Reality Constants'!$B$5</f>
        <v>0</v>
      </c>
      <c r="I239" s="13">
        <f t="array" ref="I239">IFERROR(INDEX('Price Matrix'!A:E, MATCH(B239, 'Price Matrix'!B:B, 0), 5),"")</f>
        <v>850</v>
      </c>
      <c r="J239" s="12">
        <f t="shared" si="1"/>
        <v>0</v>
      </c>
      <c r="K239" s="12">
        <f>E239*('Reality Constants'!$B$3 * 'Reality Constants'!$B$3)*'Reality Constants'!$B$8</f>
        <v>0</v>
      </c>
    </row>
    <row r="240" ht="22.5" customHeight="1">
      <c r="A240" s="6" t="s">
        <v>323</v>
      </c>
      <c r="B240" s="6" t="s">
        <v>338</v>
      </c>
      <c r="C240" s="11">
        <v>175.942576</v>
      </c>
      <c r="D240" s="11">
        <v>12.7</v>
      </c>
      <c r="E240" s="12">
        <f>C240*'Reality Constants'!$B$2</f>
        <v>0</v>
      </c>
      <c r="F240" s="12">
        <f>E240 * ('Reality Constants'!$B$3 * 2)</f>
        <v>0</v>
      </c>
      <c r="G240" s="12">
        <f>F240 / 'Reality Constants'!$B$4</f>
        <v>1093.35287</v>
      </c>
      <c r="H240" s="12">
        <f>F240 / 'Reality Constants'!$B$5</f>
        <v>0</v>
      </c>
      <c r="I240" s="13">
        <f t="array" ref="I240">IFERROR(INDEX('Price Matrix'!A:E, MATCH(B240, 'Price Matrix'!B:B, 0), 5),"")</f>
        <v>12.29</v>
      </c>
      <c r="J240" s="12">
        <f t="shared" si="1"/>
        <v>0</v>
      </c>
      <c r="K240" s="12">
        <f>E240*('Reality Constants'!$B$3 * 'Reality Constants'!$B$3)*'Reality Constants'!$B$8</f>
        <v>0</v>
      </c>
    </row>
    <row r="241" ht="22.5" customHeight="1">
      <c r="A241" s="6" t="s">
        <v>335</v>
      </c>
      <c r="B241" s="6" t="s">
        <v>339</v>
      </c>
      <c r="C241" s="11">
        <v>175.942694</v>
      </c>
      <c r="D241" s="11">
        <v>2.6</v>
      </c>
      <c r="E241" s="12">
        <f>C241*'Reality Constants'!$B$2</f>
        <v>0</v>
      </c>
      <c r="F241" s="12">
        <f>E241 * ('Reality Constants'!$B$3 * 2)</f>
        <v>0</v>
      </c>
      <c r="G241" s="12">
        <f>F241 / 'Reality Constants'!$B$4</f>
        <v>1093.353603</v>
      </c>
      <c r="H241" s="12">
        <f>F241 / 'Reality Constants'!$B$5</f>
        <v>0</v>
      </c>
      <c r="I241" s="13">
        <f t="array" ref="I241">IFERROR(INDEX('Price Matrix'!A:E, MATCH(B241, 'Price Matrix'!B:B, 0), 5),"")</f>
        <v>632.86</v>
      </c>
      <c r="J241" s="12">
        <f t="shared" si="1"/>
        <v>0</v>
      </c>
      <c r="K241" s="12">
        <f>E241*('Reality Constants'!$B$3 * 'Reality Constants'!$B$3)*'Reality Constants'!$B$8</f>
        <v>0</v>
      </c>
    </row>
    <row r="242" ht="22.5" customHeight="1">
      <c r="A242" s="6" t="s">
        <v>333</v>
      </c>
      <c r="B242" s="6" t="s">
        <v>340</v>
      </c>
      <c r="C242" s="11">
        <v>176.943233</v>
      </c>
      <c r="D242" s="11">
        <v>18.6</v>
      </c>
      <c r="E242" s="12">
        <f>C242*'Reality Constants'!$B$2</f>
        <v>0</v>
      </c>
      <c r="F242" s="12">
        <f>E242 * ('Reality Constants'!$B$3 * 2)</f>
        <v>0</v>
      </c>
      <c r="G242" s="12">
        <f>F242 / 'Reality Constants'!$B$4</f>
        <v>1099.571212</v>
      </c>
      <c r="H242" s="12">
        <f>F242 / 'Reality Constants'!$B$5</f>
        <v>0</v>
      </c>
      <c r="I242" s="13">
        <f t="array" ref="I242">IFERROR(INDEX('Price Matrix'!A:E, MATCH(B242, 'Price Matrix'!B:B, 0), 5),"")</f>
        <v>850</v>
      </c>
      <c r="J242" s="12">
        <f t="shared" si="1"/>
        <v>0</v>
      </c>
      <c r="K242" s="12">
        <f>E242*('Reality Constants'!$B$3 * 'Reality Constants'!$B$3)*'Reality Constants'!$B$8</f>
        <v>0</v>
      </c>
    </row>
    <row r="243" ht="22.5" customHeight="1">
      <c r="A243" s="6" t="s">
        <v>333</v>
      </c>
      <c r="B243" s="6" t="s">
        <v>341</v>
      </c>
      <c r="C243" s="11">
        <v>177.94371</v>
      </c>
      <c r="D243" s="11">
        <v>27.1</v>
      </c>
      <c r="E243" s="12">
        <f>C243*'Reality Constants'!$B$2</f>
        <v>0</v>
      </c>
      <c r="F243" s="12">
        <f>E243 * ('Reality Constants'!$B$3 * 2)</f>
        <v>0</v>
      </c>
      <c r="G243" s="12">
        <f>F243 / 'Reality Constants'!$B$4</f>
        <v>1105.788436</v>
      </c>
      <c r="H243" s="12">
        <f>F243 / 'Reality Constants'!$B$5</f>
        <v>0</v>
      </c>
      <c r="I243" s="13">
        <f t="array" ref="I243">IFERROR(INDEX('Price Matrix'!A:E, MATCH(B243, 'Price Matrix'!B:B, 0), 5),"")</f>
        <v>850</v>
      </c>
      <c r="J243" s="12">
        <f t="shared" si="1"/>
        <v>0</v>
      </c>
      <c r="K243" s="12">
        <f>E243*('Reality Constants'!$B$3 * 'Reality Constants'!$B$3)*'Reality Constants'!$B$8</f>
        <v>0</v>
      </c>
    </row>
    <row r="244" ht="22.5" customHeight="1">
      <c r="A244" s="6" t="s">
        <v>333</v>
      </c>
      <c r="B244" s="6" t="s">
        <v>342</v>
      </c>
      <c r="C244" s="11">
        <v>178.945827</v>
      </c>
      <c r="D244" s="11">
        <v>13.74</v>
      </c>
      <c r="E244" s="12">
        <f>C244*'Reality Constants'!$B$2</f>
        <v>0</v>
      </c>
      <c r="F244" s="12">
        <f>E244 * ('Reality Constants'!$B$3 * 2)</f>
        <v>0</v>
      </c>
      <c r="G244" s="12">
        <f>F244 / 'Reality Constants'!$B$4</f>
        <v>1112.015852</v>
      </c>
      <c r="H244" s="12">
        <f>F244 / 'Reality Constants'!$B$5</f>
        <v>0</v>
      </c>
      <c r="I244" s="13">
        <f t="array" ref="I244">IFERROR(INDEX('Price Matrix'!A:E, MATCH(B244, 'Price Matrix'!B:B, 0), 5),"")</f>
        <v>850</v>
      </c>
      <c r="J244" s="12">
        <f t="shared" si="1"/>
        <v>0</v>
      </c>
      <c r="K244" s="12">
        <f>E244*('Reality Constants'!$B$3 * 'Reality Constants'!$B$3)*'Reality Constants'!$B$8</f>
        <v>0</v>
      </c>
    </row>
    <row r="245" ht="22.5" customHeight="1">
      <c r="A245" s="6" t="s">
        <v>333</v>
      </c>
      <c r="B245" s="6" t="s">
        <v>343</v>
      </c>
      <c r="C245" s="11">
        <v>179.946561</v>
      </c>
      <c r="D245" s="11">
        <v>35.2</v>
      </c>
      <c r="E245" s="12">
        <f>C245*'Reality Constants'!$B$2</f>
        <v>0</v>
      </c>
      <c r="F245" s="12">
        <f>E245 * ('Reality Constants'!$B$3 * 2)</f>
        <v>0</v>
      </c>
      <c r="G245" s="12">
        <f>F245 / 'Reality Constants'!$B$4</f>
        <v>1118.234673</v>
      </c>
      <c r="H245" s="12">
        <f>F245 / 'Reality Constants'!$B$5</f>
        <v>0</v>
      </c>
      <c r="I245" s="13">
        <f t="array" ref="I245">IFERROR(INDEX('Price Matrix'!A:E, MATCH(B245, 'Price Matrix'!B:B, 0), 5),"")</f>
        <v>850</v>
      </c>
      <c r="J245" s="12">
        <f t="shared" si="1"/>
        <v>0</v>
      </c>
      <c r="K245" s="12">
        <f>E245*('Reality Constants'!$B$3 * 'Reality Constants'!$B$3)*'Reality Constants'!$B$8</f>
        <v>0</v>
      </c>
    </row>
    <row r="246" ht="22.5" customHeight="1">
      <c r="A246" s="6" t="s">
        <v>344</v>
      </c>
      <c r="B246" s="6" t="s">
        <v>345</v>
      </c>
      <c r="C246" s="11">
        <v>179.946727</v>
      </c>
      <c r="D246" s="11">
        <v>0.13</v>
      </c>
      <c r="E246" s="12">
        <f>C246*'Reality Constants'!$B$2</f>
        <v>0</v>
      </c>
      <c r="F246" s="12">
        <f>E246 * ('Reality Constants'!$B$3 * 2)</f>
        <v>0</v>
      </c>
      <c r="G246" s="12">
        <f>F246 / 'Reality Constants'!$B$4</f>
        <v>1118.235704</v>
      </c>
      <c r="H246" s="12">
        <f>F246 / 'Reality Constants'!$B$5</f>
        <v>0</v>
      </c>
      <c r="I246" s="13">
        <f t="array" ref="I246">IFERROR(INDEX('Price Matrix'!A:E, MATCH(B246, 'Price Matrix'!B:B, 0), 5),"")</f>
        <v>42</v>
      </c>
      <c r="J246" s="12">
        <f t="shared" si="1"/>
        <v>0</v>
      </c>
      <c r="K246" s="12">
        <f>E246*('Reality Constants'!$B$3 * 'Reality Constants'!$B$3)*'Reality Constants'!$B$8</f>
        <v>0</v>
      </c>
    </row>
    <row r="247" ht="22.5" customHeight="1">
      <c r="A247" s="6" t="s">
        <v>346</v>
      </c>
      <c r="B247" s="6" t="s">
        <v>347</v>
      </c>
      <c r="C247" s="11">
        <v>179.947489</v>
      </c>
      <c r="D247" s="11">
        <v>0.012</v>
      </c>
      <c r="E247" s="12">
        <f>C247*'Reality Constants'!$B$2</f>
        <v>0</v>
      </c>
      <c r="F247" s="12">
        <f>E247 * ('Reality Constants'!$B$3 * 2)</f>
        <v>0</v>
      </c>
      <c r="G247" s="12">
        <f>F247 / 'Reality Constants'!$B$4</f>
        <v>1118.240439</v>
      </c>
      <c r="H247" s="12">
        <f>F247 / 'Reality Constants'!$B$5</f>
        <v>0</v>
      </c>
      <c r="I247" s="13">
        <f t="array" ref="I247">IFERROR(INDEX('Price Matrix'!A:E, MATCH(B247, 'Price Matrix'!B:B, 0), 5),"")</f>
        <v>275</v>
      </c>
      <c r="J247" s="12">
        <f t="shared" si="1"/>
        <v>0</v>
      </c>
      <c r="K247" s="12">
        <f>E247*('Reality Constants'!$B$3 * 'Reality Constants'!$B$3)*'Reality Constants'!$B$8</f>
        <v>0</v>
      </c>
    </row>
    <row r="248" ht="22.5" customHeight="1">
      <c r="A248" s="6" t="s">
        <v>346</v>
      </c>
      <c r="B248" s="6" t="s">
        <v>348</v>
      </c>
      <c r="C248" s="11">
        <v>180.948014</v>
      </c>
      <c r="D248" s="11">
        <v>99.99</v>
      </c>
      <c r="E248" s="12">
        <f>C248*'Reality Constants'!$B$2</f>
        <v>0</v>
      </c>
      <c r="F248" s="12">
        <f>E248 * ('Reality Constants'!$B$3 * 2)</f>
        <v>0</v>
      </c>
      <c r="G248" s="12">
        <f>F248 / 'Reality Constants'!$B$4</f>
        <v>1124.457962</v>
      </c>
      <c r="H248" s="12">
        <f>F248 / 'Reality Constants'!$B$5</f>
        <v>0</v>
      </c>
      <c r="I248" s="13">
        <f t="array" ref="I248">IFERROR(INDEX('Price Matrix'!A:E, MATCH(B248, 'Price Matrix'!B:B, 0), 5),"")</f>
        <v>275</v>
      </c>
      <c r="J248" s="12">
        <f t="shared" si="1"/>
        <v>0</v>
      </c>
      <c r="K248" s="12">
        <f>E248*('Reality Constants'!$B$3 * 'Reality Constants'!$B$3)*'Reality Constants'!$B$8</f>
        <v>0</v>
      </c>
    </row>
    <row r="249" ht="22.5" customHeight="1">
      <c r="A249" s="6" t="s">
        <v>344</v>
      </c>
      <c r="B249" s="6" t="s">
        <v>349</v>
      </c>
      <c r="C249" s="11">
        <v>181.948225</v>
      </c>
      <c r="D249" s="11">
        <v>26.3</v>
      </c>
      <c r="E249" s="12">
        <f>C249*'Reality Constants'!$B$2</f>
        <v>0</v>
      </c>
      <c r="F249" s="12">
        <f>E249 * ('Reality Constants'!$B$3 * 2)</f>
        <v>0</v>
      </c>
      <c r="G249" s="12">
        <f>F249 / 'Reality Constants'!$B$4</f>
        <v>1130.673533</v>
      </c>
      <c r="H249" s="12">
        <f>F249 / 'Reality Constants'!$B$5</f>
        <v>0</v>
      </c>
      <c r="I249" s="13">
        <f t="array" ref="I249">IFERROR(INDEX('Price Matrix'!A:E, MATCH(B249, 'Price Matrix'!B:B, 0), 5),"")</f>
        <v>42</v>
      </c>
      <c r="J249" s="12">
        <f t="shared" si="1"/>
        <v>0</v>
      </c>
      <c r="K249" s="12">
        <f>E249*('Reality Constants'!$B$3 * 'Reality Constants'!$B$3)*'Reality Constants'!$B$8</f>
        <v>0</v>
      </c>
    </row>
    <row r="250" ht="22.5" customHeight="1">
      <c r="A250" s="6" t="s">
        <v>344</v>
      </c>
      <c r="B250" s="6" t="s">
        <v>350</v>
      </c>
      <c r="C250" s="11">
        <v>182.950245</v>
      </c>
      <c r="D250" s="11">
        <v>14.3</v>
      </c>
      <c r="E250" s="12">
        <f>C250*'Reality Constants'!$B$2</f>
        <v>0</v>
      </c>
      <c r="F250" s="12">
        <f>E250 * ('Reality Constants'!$B$3 * 2)</f>
        <v>0</v>
      </c>
      <c r="G250" s="12">
        <f>F250 / 'Reality Constants'!$B$4</f>
        <v>1136.900345</v>
      </c>
      <c r="H250" s="12">
        <f>F250 / 'Reality Constants'!$B$5</f>
        <v>0</v>
      </c>
      <c r="I250" s="13">
        <f t="array" ref="I250">IFERROR(INDEX('Price Matrix'!A:E, MATCH(B250, 'Price Matrix'!B:B, 0), 5),"")</f>
        <v>42</v>
      </c>
      <c r="J250" s="12">
        <f t="shared" si="1"/>
        <v>0</v>
      </c>
      <c r="K250" s="12">
        <f>E250*('Reality Constants'!$B$3 * 'Reality Constants'!$B$3)*'Reality Constants'!$B$8</f>
        <v>0</v>
      </c>
    </row>
    <row r="251" ht="22.5" customHeight="1">
      <c r="A251" s="6" t="s">
        <v>344</v>
      </c>
      <c r="B251" s="6" t="s">
        <v>351</v>
      </c>
      <c r="C251" s="11">
        <v>183.950953</v>
      </c>
      <c r="D251" s="11">
        <v>30.67</v>
      </c>
      <c r="E251" s="12">
        <f>C251*'Reality Constants'!$B$2</f>
        <v>0</v>
      </c>
      <c r="F251" s="12">
        <f>E251 * ('Reality Constants'!$B$3 * 2)</f>
        <v>0</v>
      </c>
      <c r="G251" s="12">
        <f>F251 / 'Reality Constants'!$B$4</f>
        <v>1143.119005</v>
      </c>
      <c r="H251" s="12">
        <f>F251 / 'Reality Constants'!$B$5</f>
        <v>0</v>
      </c>
      <c r="I251" s="13">
        <f t="array" ref="I251">IFERROR(INDEX('Price Matrix'!A:E, MATCH(B251, 'Price Matrix'!B:B, 0), 5),"")</f>
        <v>42</v>
      </c>
      <c r="J251" s="12">
        <f t="shared" si="1"/>
        <v>0</v>
      </c>
      <c r="K251" s="12">
        <f>E251*('Reality Constants'!$B$3 * 'Reality Constants'!$B$3)*'Reality Constants'!$B$8</f>
        <v>0</v>
      </c>
    </row>
    <row r="252" ht="22.5" customHeight="1">
      <c r="A252" s="6" t="s">
        <v>352</v>
      </c>
      <c r="B252" s="6" t="s">
        <v>353</v>
      </c>
      <c r="C252" s="11">
        <v>183.952514</v>
      </c>
      <c r="D252" s="11">
        <v>0.02</v>
      </c>
      <c r="E252" s="12">
        <f>C252*'Reality Constants'!$B$2</f>
        <v>0</v>
      </c>
      <c r="F252" s="12">
        <f>E252 * ('Reality Constants'!$B$3 * 2)</f>
        <v>0</v>
      </c>
      <c r="G252" s="12">
        <f>F252 / 'Reality Constants'!$B$4</f>
        <v>1143.128705</v>
      </c>
      <c r="H252" s="12">
        <f>F252 / 'Reality Constants'!$B$5</f>
        <v>0</v>
      </c>
      <c r="I252" s="13">
        <f t="array" ref="I252">IFERROR(INDEX('Price Matrix'!A:E, MATCH(B252, 'Price Matrix'!B:B, 0), 5),"")</f>
        <v>12000</v>
      </c>
      <c r="J252" s="12">
        <f t="shared" si="1"/>
        <v>0</v>
      </c>
      <c r="K252" s="12">
        <f>E252*('Reality Constants'!$B$3 * 'Reality Constants'!$B$3)*'Reality Constants'!$B$8</f>
        <v>0</v>
      </c>
    </row>
    <row r="253" ht="22.5" customHeight="1">
      <c r="A253" s="6" t="s">
        <v>354</v>
      </c>
      <c r="B253" s="6" t="s">
        <v>355</v>
      </c>
      <c r="C253" s="11">
        <v>184.952977</v>
      </c>
      <c r="D253" s="11">
        <v>37.4</v>
      </c>
      <c r="E253" s="12">
        <f>C253*'Reality Constants'!$B$2</f>
        <v>0</v>
      </c>
      <c r="F253" s="12">
        <f>E253 * ('Reality Constants'!$B$3 * 2)</f>
        <v>0</v>
      </c>
      <c r="G253" s="12">
        <f>F253 / 'Reality Constants'!$B$4</f>
        <v>1149.345842</v>
      </c>
      <c r="H253" s="12">
        <f>F253 / 'Reality Constants'!$B$5</f>
        <v>0</v>
      </c>
      <c r="I253" s="13">
        <f t="array" ref="I253">IFERROR(INDEX('Price Matrix'!A:E, MATCH(B253, 'Price Matrix'!B:B, 0), 5),"")</f>
        <v>2100</v>
      </c>
      <c r="J253" s="12">
        <f t="shared" si="1"/>
        <v>0</v>
      </c>
      <c r="K253" s="12">
        <f>E253*('Reality Constants'!$B$3 * 'Reality Constants'!$B$3)*'Reality Constants'!$B$8</f>
        <v>0</v>
      </c>
    </row>
    <row r="254" ht="22.5" customHeight="1">
      <c r="A254" s="6" t="s">
        <v>352</v>
      </c>
      <c r="B254" s="6" t="s">
        <v>356</v>
      </c>
      <c r="C254" s="11">
        <v>185.953852</v>
      </c>
      <c r="D254" s="11">
        <v>1.58</v>
      </c>
      <c r="E254" s="12">
        <f>C254*'Reality Constants'!$B$2</f>
        <v>0</v>
      </c>
      <c r="F254" s="12">
        <f>E254 * ('Reality Constants'!$B$3 * 2)</f>
        <v>0</v>
      </c>
      <c r="G254" s="12">
        <f>F254 / 'Reality Constants'!$B$4</f>
        <v>1155.565539</v>
      </c>
      <c r="H254" s="12">
        <f>F254 / 'Reality Constants'!$B$5</f>
        <v>0</v>
      </c>
      <c r="I254" s="13">
        <f t="array" ref="I254">IFERROR(INDEX('Price Matrix'!A:E, MATCH(B254, 'Price Matrix'!B:B, 0), 5),"")</f>
        <v>12000</v>
      </c>
      <c r="J254" s="12">
        <f t="shared" si="1"/>
        <v>0</v>
      </c>
      <c r="K254" s="12">
        <f>E254*('Reality Constants'!$B$3 * 'Reality Constants'!$B$3)*'Reality Constants'!$B$8</f>
        <v>0</v>
      </c>
    </row>
    <row r="255" ht="22.5" customHeight="1">
      <c r="A255" s="6" t="s">
        <v>344</v>
      </c>
      <c r="B255" s="6" t="s">
        <v>357</v>
      </c>
      <c r="C255" s="11">
        <v>185.954377</v>
      </c>
      <c r="D255" s="11">
        <v>28.6</v>
      </c>
      <c r="E255" s="12">
        <f>C255*'Reality Constants'!$B$2</f>
        <v>0</v>
      </c>
      <c r="F255" s="12">
        <f>E255 * ('Reality Constants'!$B$3 * 2)</f>
        <v>0</v>
      </c>
      <c r="G255" s="12">
        <f>F255 / 'Reality Constants'!$B$4</f>
        <v>1155.568802</v>
      </c>
      <c r="H255" s="12">
        <f>F255 / 'Reality Constants'!$B$5</f>
        <v>0</v>
      </c>
      <c r="I255" s="13">
        <f t="array" ref="I255">IFERROR(INDEX('Price Matrix'!A:E, MATCH(B255, 'Price Matrix'!B:B, 0), 5),"")</f>
        <v>42</v>
      </c>
      <c r="J255" s="12">
        <f t="shared" si="1"/>
        <v>0</v>
      </c>
      <c r="K255" s="12">
        <f>E255*('Reality Constants'!$B$3 * 'Reality Constants'!$B$3)*'Reality Constants'!$B$8</f>
        <v>0</v>
      </c>
    </row>
    <row r="256" ht="22.5" customHeight="1">
      <c r="A256" s="6" t="s">
        <v>352</v>
      </c>
      <c r="B256" s="6" t="s">
        <v>358</v>
      </c>
      <c r="C256" s="11">
        <v>186.955762</v>
      </c>
      <c r="D256" s="11">
        <v>1.6</v>
      </c>
      <c r="E256" s="12">
        <f>C256*'Reality Constants'!$B$2</f>
        <v>0</v>
      </c>
      <c r="F256" s="12">
        <f>E256 * ('Reality Constants'!$B$3 * 2)</f>
        <v>0</v>
      </c>
      <c r="G256" s="12">
        <f>F256 / 'Reality Constants'!$B$4</f>
        <v>1161.791668</v>
      </c>
      <c r="H256" s="12">
        <f>F256 / 'Reality Constants'!$B$5</f>
        <v>0</v>
      </c>
      <c r="I256" s="13">
        <f t="array" ref="I256">IFERROR(INDEX('Price Matrix'!A:E, MATCH(B256, 'Price Matrix'!B:B, 0), 5),"")</f>
        <v>12000</v>
      </c>
      <c r="J256" s="12">
        <f t="shared" si="1"/>
        <v>0</v>
      </c>
      <c r="K256" s="12">
        <f>E256*('Reality Constants'!$B$3 * 'Reality Constants'!$B$3)*'Reality Constants'!$B$8</f>
        <v>0</v>
      </c>
    </row>
    <row r="257" ht="22.5" customHeight="1">
      <c r="A257" s="6" t="s">
        <v>354</v>
      </c>
      <c r="B257" s="6" t="s">
        <v>359</v>
      </c>
      <c r="C257" s="11">
        <v>186.955765</v>
      </c>
      <c r="D257" s="11">
        <v>62.6</v>
      </c>
      <c r="E257" s="12">
        <f>C257*'Reality Constants'!$B$2</f>
        <v>0</v>
      </c>
      <c r="F257" s="12">
        <f>E257 * ('Reality Constants'!$B$3 * 2)</f>
        <v>0</v>
      </c>
      <c r="G257" s="12">
        <f>F257 / 'Reality Constants'!$B$4</f>
        <v>1161.791687</v>
      </c>
      <c r="H257" s="12">
        <f>F257 / 'Reality Constants'!$B$5</f>
        <v>0</v>
      </c>
      <c r="I257" s="13">
        <f t="array" ref="I257">IFERROR(INDEX('Price Matrix'!A:E, MATCH(B257, 'Price Matrix'!B:B, 0), 5),"")</f>
        <v>2100</v>
      </c>
      <c r="J257" s="12">
        <f t="shared" si="1"/>
        <v>0</v>
      </c>
      <c r="K257" s="12">
        <f>E257*('Reality Constants'!$B$3 * 'Reality Constants'!$B$3)*'Reality Constants'!$B$8</f>
        <v>0</v>
      </c>
    </row>
    <row r="258" ht="22.5" customHeight="1">
      <c r="A258" s="6" t="s">
        <v>352</v>
      </c>
      <c r="B258" s="6" t="s">
        <v>360</v>
      </c>
      <c r="C258" s="11">
        <v>187.95585</v>
      </c>
      <c r="D258" s="11">
        <v>13.3</v>
      </c>
      <c r="E258" s="12">
        <f>C258*'Reality Constants'!$B$2</f>
        <v>0</v>
      </c>
      <c r="F258" s="12">
        <f>E258 * ('Reality Constants'!$B$3 * 2)</f>
        <v>0</v>
      </c>
      <c r="G258" s="12">
        <f>F258 / 'Reality Constants'!$B$4</f>
        <v>1168.006475</v>
      </c>
      <c r="H258" s="12">
        <f>F258 / 'Reality Constants'!$B$5</f>
        <v>0</v>
      </c>
      <c r="I258" s="13">
        <f t="array" ref="I258">IFERROR(INDEX('Price Matrix'!A:E, MATCH(B258, 'Price Matrix'!B:B, 0), 5),"")</f>
        <v>12000</v>
      </c>
      <c r="J258" s="12">
        <f t="shared" si="1"/>
        <v>0</v>
      </c>
      <c r="K258" s="12">
        <f>E258*('Reality Constants'!$B$3 * 'Reality Constants'!$B$3)*'Reality Constants'!$B$8</f>
        <v>0</v>
      </c>
    </row>
    <row r="259" ht="22.5" customHeight="1">
      <c r="A259" s="6" t="s">
        <v>352</v>
      </c>
      <c r="B259" s="6" t="s">
        <v>361</v>
      </c>
      <c r="C259" s="11">
        <v>188.958156</v>
      </c>
      <c r="D259" s="11">
        <v>16.1</v>
      </c>
      <c r="E259" s="12">
        <f>C259*'Reality Constants'!$B$2</f>
        <v>0</v>
      </c>
      <c r="F259" s="12">
        <f>E259 * ('Reality Constants'!$B$3 * 2)</f>
        <v>0</v>
      </c>
      <c r="G259" s="12">
        <f>F259 / 'Reality Constants'!$B$4</f>
        <v>1174.235065</v>
      </c>
      <c r="H259" s="12">
        <f>F259 / 'Reality Constants'!$B$5</f>
        <v>0</v>
      </c>
      <c r="I259" s="13">
        <f t="array" ref="I259">IFERROR(INDEX('Price Matrix'!A:E, MATCH(B259, 'Price Matrix'!B:B, 0), 5),"")</f>
        <v>12000</v>
      </c>
      <c r="J259" s="12">
        <f t="shared" si="1"/>
        <v>0</v>
      </c>
      <c r="K259" s="12">
        <f>E259*('Reality Constants'!$B$3 * 'Reality Constants'!$B$3)*'Reality Constants'!$B$8</f>
        <v>0</v>
      </c>
    </row>
    <row r="260" ht="22.5" customHeight="1">
      <c r="A260" s="6" t="s">
        <v>352</v>
      </c>
      <c r="B260" s="6" t="s">
        <v>362</v>
      </c>
      <c r="C260" s="11">
        <v>189.958455</v>
      </c>
      <c r="D260" s="11">
        <v>26.4</v>
      </c>
      <c r="E260" s="12">
        <f>C260*'Reality Constants'!$B$2</f>
        <v>0</v>
      </c>
      <c r="F260" s="12">
        <f>E260 * ('Reality Constants'!$B$3 * 2)</f>
        <v>0</v>
      </c>
      <c r="G260" s="12">
        <f>F260 / 'Reality Constants'!$B$4</f>
        <v>1180.451183</v>
      </c>
      <c r="H260" s="12">
        <f>F260 / 'Reality Constants'!$B$5</f>
        <v>0</v>
      </c>
      <c r="I260" s="13">
        <f t="array" ref="I260">IFERROR(INDEX('Price Matrix'!A:E, MATCH(B260, 'Price Matrix'!B:B, 0), 5),"")</f>
        <v>12000</v>
      </c>
      <c r="J260" s="12">
        <f t="shared" si="1"/>
        <v>0</v>
      </c>
      <c r="K260" s="12">
        <f>E260*('Reality Constants'!$B$3 * 'Reality Constants'!$B$3)*'Reality Constants'!$B$8</f>
        <v>0</v>
      </c>
    </row>
    <row r="261" ht="22.5" customHeight="1">
      <c r="A261" s="6" t="s">
        <v>363</v>
      </c>
      <c r="B261" s="6" t="s">
        <v>364</v>
      </c>
      <c r="C261" s="11">
        <v>189.959937</v>
      </c>
      <c r="D261" s="11">
        <v>0.01</v>
      </c>
      <c r="E261" s="12">
        <f>C261*'Reality Constants'!$B$2</f>
        <v>0</v>
      </c>
      <c r="F261" s="12">
        <f>E261 * ('Reality Constants'!$B$3 * 2)</f>
        <v>0</v>
      </c>
      <c r="G261" s="12">
        <f>F261 / 'Reality Constants'!$B$4</f>
        <v>1180.460392</v>
      </c>
      <c r="H261" s="12">
        <f>F261 / 'Reality Constants'!$B$5</f>
        <v>0</v>
      </c>
      <c r="I261" s="13">
        <f t="array" ref="I261">IFERROR(INDEX('Price Matrix'!A:E, MATCH(B261, 'Price Matrix'!B:B, 0), 5),"")</f>
        <v>42400</v>
      </c>
      <c r="J261" s="12">
        <f t="shared" si="1"/>
        <v>0</v>
      </c>
      <c r="K261" s="12">
        <f>E261*('Reality Constants'!$B$3 * 'Reality Constants'!$B$3)*'Reality Constants'!$B$8</f>
        <v>0</v>
      </c>
    </row>
    <row r="262" ht="22.5" customHeight="1">
      <c r="A262" s="6" t="s">
        <v>365</v>
      </c>
      <c r="B262" s="6" t="s">
        <v>366</v>
      </c>
      <c r="C262" s="11">
        <v>190.960603</v>
      </c>
      <c r="D262" s="11">
        <v>37.3</v>
      </c>
      <c r="E262" s="12">
        <f>C262*'Reality Constants'!$B$2</f>
        <v>0</v>
      </c>
      <c r="F262" s="12">
        <f>E262 * ('Reality Constants'!$B$3 * 2)</f>
        <v>0</v>
      </c>
      <c r="G262" s="12">
        <f>F262 / 'Reality Constants'!$B$4</f>
        <v>1186.678791</v>
      </c>
      <c r="H262" s="12">
        <f>F262 / 'Reality Constants'!$B$5</f>
        <v>0</v>
      </c>
      <c r="I262" s="13">
        <f t="array" ref="I262">IFERROR(INDEX('Price Matrix'!A:E, MATCH(B262, 'Price Matrix'!B:B, 0), 5),"")</f>
        <v>50000</v>
      </c>
      <c r="J262" s="12">
        <f t="shared" si="1"/>
        <v>0</v>
      </c>
      <c r="K262" s="12">
        <f>E262*('Reality Constants'!$B$3 * 'Reality Constants'!$B$3)*'Reality Constants'!$B$8</f>
        <v>0</v>
      </c>
    </row>
    <row r="263" ht="22.5" customHeight="1">
      <c r="A263" s="6" t="s">
        <v>363</v>
      </c>
      <c r="B263" s="6" t="s">
        <v>367</v>
      </c>
      <c r="C263" s="11">
        <v>191.961049</v>
      </c>
      <c r="D263" s="11">
        <v>0.79</v>
      </c>
      <c r="E263" s="12">
        <f>C263*'Reality Constants'!$B$2</f>
        <v>0</v>
      </c>
      <c r="F263" s="12">
        <f>E263 * ('Reality Constants'!$B$3 * 2)</f>
        <v>0</v>
      </c>
      <c r="G263" s="12">
        <f>F263 / 'Reality Constants'!$B$4</f>
        <v>1192.895822</v>
      </c>
      <c r="H263" s="12">
        <f>F263 / 'Reality Constants'!$B$5</f>
        <v>0</v>
      </c>
      <c r="I263" s="13">
        <f t="array" ref="I263">IFERROR(INDEX('Price Matrix'!A:E, MATCH(B263, 'Price Matrix'!B:B, 0), 5),"")</f>
        <v>42400</v>
      </c>
      <c r="J263" s="12">
        <f t="shared" si="1"/>
        <v>0</v>
      </c>
      <c r="K263" s="12">
        <f>E263*('Reality Constants'!$B$3 * 'Reality Constants'!$B$3)*'Reality Constants'!$B$8</f>
        <v>0</v>
      </c>
    </row>
    <row r="264" ht="22.5" customHeight="1">
      <c r="A264" s="6" t="s">
        <v>352</v>
      </c>
      <c r="B264" s="6" t="s">
        <v>368</v>
      </c>
      <c r="C264" s="11">
        <v>191.961487</v>
      </c>
      <c r="D264" s="11">
        <v>41.0</v>
      </c>
      <c r="E264" s="12">
        <f>C264*'Reality Constants'!$B$2</f>
        <v>0</v>
      </c>
      <c r="F264" s="12">
        <f>E264 * ('Reality Constants'!$B$3 * 2)</f>
        <v>0</v>
      </c>
      <c r="G264" s="12">
        <f>F264 / 'Reality Constants'!$B$4</f>
        <v>1192.898544</v>
      </c>
      <c r="H264" s="12">
        <f>F264 / 'Reality Constants'!$B$5</f>
        <v>0</v>
      </c>
      <c r="I264" s="13">
        <f t="array" ref="I264">IFERROR(INDEX('Price Matrix'!A:E, MATCH(B264, 'Price Matrix'!B:B, 0), 5),"")</f>
        <v>12000</v>
      </c>
      <c r="J264" s="12">
        <f t="shared" si="1"/>
        <v>0</v>
      </c>
      <c r="K264" s="12">
        <f>E264*('Reality Constants'!$B$3 * 'Reality Constants'!$B$3)*'Reality Constants'!$B$8</f>
        <v>0</v>
      </c>
    </row>
    <row r="265" ht="22.5" customHeight="1">
      <c r="A265" s="6" t="s">
        <v>365</v>
      </c>
      <c r="B265" s="6" t="s">
        <v>369</v>
      </c>
      <c r="C265" s="11">
        <v>192.962942</v>
      </c>
      <c r="D265" s="11">
        <v>62.7</v>
      </c>
      <c r="E265" s="12">
        <f>C265*'Reality Constants'!$B$2</f>
        <v>0</v>
      </c>
      <c r="F265" s="12">
        <f>E265 * ('Reality Constants'!$B$3 * 2)</f>
        <v>0</v>
      </c>
      <c r="G265" s="12">
        <f>F265 / 'Reality Constants'!$B$4</f>
        <v>1199.121845</v>
      </c>
      <c r="H265" s="12">
        <f>F265 / 'Reality Constants'!$B$5</f>
        <v>0</v>
      </c>
      <c r="I265" s="13">
        <f t="array" ref="I265">IFERROR(INDEX('Price Matrix'!A:E, MATCH(B265, 'Price Matrix'!B:B, 0), 5),"")</f>
        <v>50000</v>
      </c>
      <c r="J265" s="12">
        <f t="shared" si="1"/>
        <v>0</v>
      </c>
      <c r="K265" s="12">
        <f>E265*('Reality Constants'!$B$3 * 'Reality Constants'!$B$3)*'Reality Constants'!$B$8</f>
        <v>0</v>
      </c>
    </row>
    <row r="266" ht="22.5" customHeight="1">
      <c r="A266" s="6" t="s">
        <v>363</v>
      </c>
      <c r="B266" s="6" t="s">
        <v>370</v>
      </c>
      <c r="C266" s="11">
        <v>193.962679</v>
      </c>
      <c r="D266" s="11">
        <v>32.9</v>
      </c>
      <c r="E266" s="12">
        <f>C266*'Reality Constants'!$B$2</f>
        <v>0</v>
      </c>
      <c r="F266" s="12">
        <f>E266 * ('Reality Constants'!$B$3 * 2)</f>
        <v>0</v>
      </c>
      <c r="G266" s="12">
        <f>F266 / 'Reality Constants'!$B$4</f>
        <v>1205.334471</v>
      </c>
      <c r="H266" s="12">
        <f>F266 / 'Reality Constants'!$B$5</f>
        <v>0</v>
      </c>
      <c r="I266" s="13">
        <f t="array" ref="I266">IFERROR(INDEX('Price Matrix'!A:E, MATCH(B266, 'Price Matrix'!B:B, 0), 5),"")</f>
        <v>42400</v>
      </c>
      <c r="J266" s="12">
        <f t="shared" si="1"/>
        <v>0</v>
      </c>
      <c r="K266" s="12">
        <f>E266*('Reality Constants'!$B$3 * 'Reality Constants'!$B$3)*'Reality Constants'!$B$8</f>
        <v>0</v>
      </c>
    </row>
    <row r="267" ht="22.5" customHeight="1">
      <c r="A267" s="6" t="s">
        <v>363</v>
      </c>
      <c r="B267" s="6" t="s">
        <v>371</v>
      </c>
      <c r="C267" s="11">
        <v>194.964785</v>
      </c>
      <c r="D267" s="11">
        <v>33.8</v>
      </c>
      <c r="E267" s="12">
        <f>C267*'Reality Constants'!$B$2</f>
        <v>0</v>
      </c>
      <c r="F267" s="12">
        <f>E267 * ('Reality Constants'!$B$3 * 2)</f>
        <v>0</v>
      </c>
      <c r="G267" s="12">
        <f>F267 / 'Reality Constants'!$B$4</f>
        <v>1211.561818</v>
      </c>
      <c r="H267" s="12">
        <f>F267 / 'Reality Constants'!$B$5</f>
        <v>0</v>
      </c>
      <c r="I267" s="13">
        <f t="array" ref="I267">IFERROR(INDEX('Price Matrix'!A:E, MATCH(B267, 'Price Matrix'!B:B, 0), 5),"")</f>
        <v>42400</v>
      </c>
      <c r="J267" s="12">
        <f t="shared" si="1"/>
        <v>0</v>
      </c>
      <c r="K267" s="12">
        <f>E267*('Reality Constants'!$B$3 * 'Reality Constants'!$B$3)*'Reality Constants'!$B$8</f>
        <v>0</v>
      </c>
    </row>
    <row r="268" ht="22.5" customHeight="1">
      <c r="A268" s="6" t="s">
        <v>363</v>
      </c>
      <c r="B268" s="6" t="s">
        <v>372</v>
      </c>
      <c r="C268" s="11">
        <v>195.964947</v>
      </c>
      <c r="D268" s="11">
        <v>25.3</v>
      </c>
      <c r="E268" s="12">
        <f>C268*'Reality Constants'!$B$2</f>
        <v>0</v>
      </c>
      <c r="F268" s="12">
        <f>E268 * ('Reality Constants'!$B$3 * 2)</f>
        <v>0</v>
      </c>
      <c r="G268" s="12">
        <f>F268 / 'Reality Constants'!$B$4</f>
        <v>1217.777084</v>
      </c>
      <c r="H268" s="12">
        <f>F268 / 'Reality Constants'!$B$5</f>
        <v>0</v>
      </c>
      <c r="I268" s="13">
        <f t="array" ref="I268">IFERROR(INDEX('Price Matrix'!A:E, MATCH(B268, 'Price Matrix'!B:B, 0), 5),"")</f>
        <v>42400</v>
      </c>
      <c r="J268" s="12">
        <f t="shared" si="1"/>
        <v>0</v>
      </c>
      <c r="K268" s="12">
        <f>E268*('Reality Constants'!$B$3 * 'Reality Constants'!$B$3)*'Reality Constants'!$B$8</f>
        <v>0</v>
      </c>
    </row>
    <row r="269" ht="22.5" customHeight="1">
      <c r="A269" s="6" t="s">
        <v>373</v>
      </c>
      <c r="B269" s="6" t="s">
        <v>374</v>
      </c>
      <c r="C269" s="11">
        <v>195.965812</v>
      </c>
      <c r="D269" s="11">
        <v>0.15</v>
      </c>
      <c r="E269" s="12">
        <f>C269*'Reality Constants'!$B$2</f>
        <v>0</v>
      </c>
      <c r="F269" s="12">
        <f>E269 * ('Reality Constants'!$B$3 * 2)</f>
        <v>0</v>
      </c>
      <c r="G269" s="12">
        <f>F269 / 'Reality Constants'!$B$4</f>
        <v>1217.782459</v>
      </c>
      <c r="H269" s="12">
        <f>F269 / 'Reality Constants'!$B$5</f>
        <v>0</v>
      </c>
      <c r="I269" s="13">
        <f t="array" ref="I269">IFERROR(INDEX('Price Matrix'!A:E, MATCH(B269, 'Price Matrix'!B:B, 0), 5),"")</f>
        <v>28.5</v>
      </c>
      <c r="J269" s="12">
        <f t="shared" si="1"/>
        <v>0</v>
      </c>
      <c r="K269" s="12">
        <f>E269*('Reality Constants'!$B$3 * 'Reality Constants'!$B$3)*'Reality Constants'!$B$8</f>
        <v>0</v>
      </c>
    </row>
    <row r="270" ht="22.5" customHeight="1">
      <c r="A270" s="6" t="s">
        <v>375</v>
      </c>
      <c r="B270" s="6" t="s">
        <v>376</v>
      </c>
      <c r="C270" s="11">
        <v>196.96656</v>
      </c>
      <c r="D270" s="11">
        <v>100.0</v>
      </c>
      <c r="E270" s="12">
        <f>C270*'Reality Constants'!$B$2</f>
        <v>0</v>
      </c>
      <c r="F270" s="12">
        <f>E270 * ('Reality Constants'!$B$3 * 2)</f>
        <v>0</v>
      </c>
      <c r="G270" s="12">
        <f>F270 / 'Reality Constants'!$B$4</f>
        <v>1224.001367</v>
      </c>
      <c r="H270" s="12">
        <f>F270 / 'Reality Constants'!$B$5</f>
        <v>0</v>
      </c>
      <c r="I270" s="13">
        <f t="array" ref="I270">IFERROR(INDEX('Price Matrix'!A:E, MATCH(B270, 'Price Matrix'!B:B, 0), 5),"")</f>
        <v>107828</v>
      </c>
      <c r="J270" s="12">
        <f t="shared" si="1"/>
        <v>0</v>
      </c>
      <c r="K270" s="12">
        <f>E270*('Reality Constants'!$B$3 * 'Reality Constants'!$B$3)*'Reality Constants'!$B$8</f>
        <v>0</v>
      </c>
    </row>
    <row r="271" ht="22.5" customHeight="1">
      <c r="A271" s="6" t="s">
        <v>373</v>
      </c>
      <c r="B271" s="6" t="s">
        <v>377</v>
      </c>
      <c r="C271" s="11">
        <v>197.96676</v>
      </c>
      <c r="D271" s="11">
        <v>10.1</v>
      </c>
      <c r="E271" s="12">
        <f>C271*'Reality Constants'!$B$2</f>
        <v>0</v>
      </c>
      <c r="F271" s="12">
        <f>E271 * ('Reality Constants'!$B$3 * 2)</f>
        <v>0</v>
      </c>
      <c r="G271" s="12">
        <f>F271 / 'Reality Constants'!$B$4</f>
        <v>1230.21687</v>
      </c>
      <c r="H271" s="12">
        <f>F271 / 'Reality Constants'!$B$5</f>
        <v>0</v>
      </c>
      <c r="I271" s="13">
        <f t="array" ref="I271">IFERROR(INDEX('Price Matrix'!A:E, MATCH(B271, 'Price Matrix'!B:B, 0), 5),"")</f>
        <v>28.5</v>
      </c>
      <c r="J271" s="12">
        <f t="shared" si="1"/>
        <v>0</v>
      </c>
      <c r="K271" s="12">
        <f>E271*('Reality Constants'!$B$3 * 'Reality Constants'!$B$3)*'Reality Constants'!$B$8</f>
        <v>0</v>
      </c>
    </row>
    <row r="272" ht="22.5" customHeight="1">
      <c r="A272" s="6" t="s">
        <v>363</v>
      </c>
      <c r="B272" s="6" t="s">
        <v>378</v>
      </c>
      <c r="C272" s="11">
        <v>197.967879</v>
      </c>
      <c r="D272" s="11">
        <v>7.2</v>
      </c>
      <c r="E272" s="12">
        <f>C272*'Reality Constants'!$B$2</f>
        <v>0</v>
      </c>
      <c r="F272" s="12">
        <f>E272 * ('Reality Constants'!$B$3 * 2)</f>
        <v>0</v>
      </c>
      <c r="G272" s="12">
        <f>F272 / 'Reality Constants'!$B$4</f>
        <v>1230.223824</v>
      </c>
      <c r="H272" s="12">
        <f>F272 / 'Reality Constants'!$B$5</f>
        <v>0</v>
      </c>
      <c r="I272" s="13">
        <f t="array" ref="I272">IFERROR(INDEX('Price Matrix'!A:E, MATCH(B272, 'Price Matrix'!B:B, 0), 5),"")</f>
        <v>42400</v>
      </c>
      <c r="J272" s="12">
        <f t="shared" si="1"/>
        <v>0</v>
      </c>
      <c r="K272" s="12">
        <f>E272*('Reality Constants'!$B$3 * 'Reality Constants'!$B$3)*'Reality Constants'!$B$8</f>
        <v>0</v>
      </c>
    </row>
    <row r="273" ht="22.5" customHeight="1">
      <c r="A273" s="6" t="s">
        <v>373</v>
      </c>
      <c r="B273" s="6" t="s">
        <v>379</v>
      </c>
      <c r="C273" s="11">
        <v>198.968269</v>
      </c>
      <c r="D273" s="11">
        <v>17.0</v>
      </c>
      <c r="E273" s="12">
        <f>C273*'Reality Constants'!$B$2</f>
        <v>0</v>
      </c>
      <c r="F273" s="12">
        <f>E273 * ('Reality Constants'!$B$3 * 2)</f>
        <v>0</v>
      </c>
      <c r="G273" s="12">
        <f>F273 / 'Reality Constants'!$B$4</f>
        <v>1236.440507</v>
      </c>
      <c r="H273" s="12">
        <f>F273 / 'Reality Constants'!$B$5</f>
        <v>0</v>
      </c>
      <c r="I273" s="13">
        <f t="array" ref="I273">IFERROR(INDEX('Price Matrix'!A:E, MATCH(B273, 'Price Matrix'!B:B, 0), 5),"")</f>
        <v>28.5</v>
      </c>
      <c r="J273" s="12">
        <f t="shared" si="1"/>
        <v>0</v>
      </c>
      <c r="K273" s="12">
        <f>E273*('Reality Constants'!$B$3 * 'Reality Constants'!$B$3)*'Reality Constants'!$B$8</f>
        <v>0</v>
      </c>
    </row>
    <row r="274" ht="22.5" customHeight="1">
      <c r="A274" s="6" t="s">
        <v>373</v>
      </c>
      <c r="B274" s="6" t="s">
        <v>380</v>
      </c>
      <c r="C274" s="11">
        <v>199.968316</v>
      </c>
      <c r="D274" s="11">
        <v>23.1</v>
      </c>
      <c r="E274" s="12">
        <f>C274*'Reality Constants'!$B$2</f>
        <v>0</v>
      </c>
      <c r="F274" s="12">
        <f>E274 * ('Reality Constants'!$B$3 * 2)</f>
        <v>0</v>
      </c>
      <c r="G274" s="12">
        <f>F274 / 'Reality Constants'!$B$4</f>
        <v>1242.655059</v>
      </c>
      <c r="H274" s="12">
        <f>F274 / 'Reality Constants'!$B$5</f>
        <v>0</v>
      </c>
      <c r="I274" s="13">
        <f t="array" ref="I274">IFERROR(INDEX('Price Matrix'!A:E, MATCH(B274, 'Price Matrix'!B:B, 0), 5),"")</f>
        <v>28.5</v>
      </c>
      <c r="J274" s="12">
        <f t="shared" si="1"/>
        <v>0</v>
      </c>
      <c r="K274" s="12">
        <f>E274*('Reality Constants'!$B$3 * 'Reality Constants'!$B$3)*'Reality Constants'!$B$8</f>
        <v>0</v>
      </c>
    </row>
    <row r="275" ht="22.5" customHeight="1">
      <c r="A275" s="6" t="s">
        <v>373</v>
      </c>
      <c r="B275" s="6" t="s">
        <v>381</v>
      </c>
      <c r="C275" s="11">
        <v>200.970293</v>
      </c>
      <c r="D275" s="11">
        <v>13.2</v>
      </c>
      <c r="E275" s="12">
        <f>C275*'Reality Constants'!$B$2</f>
        <v>0</v>
      </c>
      <c r="F275" s="12">
        <f>E275 * ('Reality Constants'!$B$3 * 2)</f>
        <v>0</v>
      </c>
      <c r="G275" s="12">
        <f>F275 / 'Reality Constants'!$B$4</f>
        <v>1248.881604</v>
      </c>
      <c r="H275" s="12">
        <f>F275 / 'Reality Constants'!$B$5</f>
        <v>0</v>
      </c>
      <c r="I275" s="13">
        <f t="array" ref="I275">IFERROR(INDEX('Price Matrix'!A:E, MATCH(B275, 'Price Matrix'!B:B, 0), 5),"")</f>
        <v>28.5</v>
      </c>
      <c r="J275" s="12">
        <f t="shared" si="1"/>
        <v>0</v>
      </c>
      <c r="K275" s="12">
        <f>E275*('Reality Constants'!$B$3 * 'Reality Constants'!$B$3)*'Reality Constants'!$B$8</f>
        <v>0</v>
      </c>
    </row>
    <row r="276" ht="22.5" customHeight="1">
      <c r="A276" s="6" t="s">
        <v>373</v>
      </c>
      <c r="B276" s="6" t="s">
        <v>382</v>
      </c>
      <c r="C276" s="11">
        <v>201.970632</v>
      </c>
      <c r="D276" s="11">
        <v>29.65</v>
      </c>
      <c r="E276" s="12">
        <f>C276*'Reality Constants'!$B$2</f>
        <v>0</v>
      </c>
      <c r="F276" s="12">
        <f>E276 * ('Reality Constants'!$B$3 * 2)</f>
        <v>0</v>
      </c>
      <c r="G276" s="12">
        <f>F276 / 'Reality Constants'!$B$4</f>
        <v>1255.097971</v>
      </c>
      <c r="H276" s="12">
        <f>F276 / 'Reality Constants'!$B$5</f>
        <v>0</v>
      </c>
      <c r="I276" s="13">
        <f t="array" ref="I276">IFERROR(INDEX('Price Matrix'!A:E, MATCH(B276, 'Price Matrix'!B:B, 0), 5),"")</f>
        <v>28.5</v>
      </c>
      <c r="J276" s="12">
        <f t="shared" si="1"/>
        <v>0</v>
      </c>
      <c r="K276" s="12">
        <f>E276*('Reality Constants'!$B$3 * 'Reality Constants'!$B$3)*'Reality Constants'!$B$8</f>
        <v>0</v>
      </c>
    </row>
    <row r="277" ht="22.5" customHeight="1">
      <c r="A277" s="6" t="s">
        <v>383</v>
      </c>
      <c r="B277" s="6" t="s">
        <v>384</v>
      </c>
      <c r="C277" s="11">
        <v>202.972336</v>
      </c>
      <c r="D277" s="11">
        <v>29.52</v>
      </c>
      <c r="E277" s="12">
        <f>C277*'Reality Constants'!$B$2</f>
        <v>0</v>
      </c>
      <c r="F277" s="12">
        <f>E277 * ('Reality Constants'!$B$3 * 2)</f>
        <v>0</v>
      </c>
      <c r="G277" s="12">
        <f>F277 / 'Reality Constants'!$B$4</f>
        <v>1261.32282</v>
      </c>
      <c r="H277" s="12">
        <f>F277 / 'Reality Constants'!$B$5</f>
        <v>0</v>
      </c>
      <c r="I277" s="13">
        <f t="array" ref="I277">IFERROR(INDEX('Price Matrix'!A:E, MATCH(B277, 'Price Matrix'!B:B, 0), 5),"")</f>
        <v>4500</v>
      </c>
      <c r="J277" s="12">
        <f t="shared" si="1"/>
        <v>0</v>
      </c>
      <c r="K277" s="12">
        <f>E277*('Reality Constants'!$B$3 * 'Reality Constants'!$B$3)*'Reality Constants'!$B$8</f>
        <v>0</v>
      </c>
    </row>
    <row r="278" ht="22.5" customHeight="1">
      <c r="A278" s="6" t="s">
        <v>385</v>
      </c>
      <c r="B278" s="6" t="s">
        <v>386</v>
      </c>
      <c r="C278" s="11">
        <v>203.973037</v>
      </c>
      <c r="D278" s="11">
        <v>1.4</v>
      </c>
      <c r="E278" s="12">
        <f>C278*'Reality Constants'!$B$2</f>
        <v>0</v>
      </c>
      <c r="F278" s="12">
        <f>E278 * ('Reality Constants'!$B$3 * 2)</f>
        <v>0</v>
      </c>
      <c r="G278" s="12">
        <f>F278 / 'Reality Constants'!$B$4</f>
        <v>1267.541436</v>
      </c>
      <c r="H278" s="12">
        <f>F278 / 'Reality Constants'!$B$5</f>
        <v>0</v>
      </c>
      <c r="I278" s="13">
        <f t="array" ref="I278">IFERROR(INDEX('Price Matrix'!A:E, MATCH(B278, 'Price Matrix'!B:B, 0), 5),"")</f>
        <v>2</v>
      </c>
      <c r="J278" s="12">
        <f t="shared" si="1"/>
        <v>0</v>
      </c>
      <c r="K278" s="12">
        <f>E278*('Reality Constants'!$B$3 * 'Reality Constants'!$B$3)*'Reality Constants'!$B$8</f>
        <v>0</v>
      </c>
    </row>
    <row r="279" ht="22.5" customHeight="1">
      <c r="A279" s="6" t="s">
        <v>373</v>
      </c>
      <c r="B279" s="6" t="s">
        <v>387</v>
      </c>
      <c r="C279" s="11">
        <v>203.973481</v>
      </c>
      <c r="D279" s="11">
        <v>6.8</v>
      </c>
      <c r="E279" s="12">
        <f>C279*'Reality Constants'!$B$2</f>
        <v>0</v>
      </c>
      <c r="F279" s="12">
        <f>E279 * ('Reality Constants'!$B$3 * 2)</f>
        <v>0</v>
      </c>
      <c r="G279" s="12">
        <f>F279 / 'Reality Constants'!$B$4</f>
        <v>1267.544195</v>
      </c>
      <c r="H279" s="12">
        <f>F279 / 'Reality Constants'!$B$5</f>
        <v>0</v>
      </c>
      <c r="I279" s="13">
        <f t="array" ref="I279">IFERROR(INDEX('Price Matrix'!A:E, MATCH(B279, 'Price Matrix'!B:B, 0), 5),"")</f>
        <v>28.5</v>
      </c>
      <c r="J279" s="12">
        <f t="shared" si="1"/>
        <v>0</v>
      </c>
      <c r="K279" s="12">
        <f>E279*('Reality Constants'!$B$3 * 'Reality Constants'!$B$3)*'Reality Constants'!$B$8</f>
        <v>0</v>
      </c>
    </row>
    <row r="280" ht="22.5" customHeight="1">
      <c r="A280" s="6" t="s">
        <v>383</v>
      </c>
      <c r="B280" s="6" t="s">
        <v>388</v>
      </c>
      <c r="C280" s="11">
        <v>204.97441</v>
      </c>
      <c r="D280" s="11">
        <v>70.48</v>
      </c>
      <c r="E280" s="12">
        <f>C280*'Reality Constants'!$B$2</f>
        <v>0</v>
      </c>
      <c r="F280" s="12">
        <f>E280 * ('Reality Constants'!$B$3 * 2)</f>
        <v>0</v>
      </c>
      <c r="G280" s="12">
        <f>F280 / 'Reality Constants'!$B$4</f>
        <v>1273.764227</v>
      </c>
      <c r="H280" s="12">
        <f>F280 / 'Reality Constants'!$B$5</f>
        <v>0</v>
      </c>
      <c r="I280" s="13">
        <f t="array" ref="I280">IFERROR(INDEX('Price Matrix'!A:E, MATCH(B280, 'Price Matrix'!B:B, 0), 5),"")</f>
        <v>4500</v>
      </c>
      <c r="J280" s="12">
        <f t="shared" si="1"/>
        <v>0</v>
      </c>
      <c r="K280" s="12">
        <f>E280*('Reality Constants'!$B$3 * 'Reality Constants'!$B$3)*'Reality Constants'!$B$8</f>
        <v>0</v>
      </c>
    </row>
    <row r="281" ht="22.5" customHeight="1">
      <c r="A281" s="6" t="s">
        <v>385</v>
      </c>
      <c r="B281" s="6" t="s">
        <v>389</v>
      </c>
      <c r="C281" s="11">
        <v>205.974455</v>
      </c>
      <c r="D281" s="11">
        <v>24.1</v>
      </c>
      <c r="E281" s="12">
        <f>C281*'Reality Constants'!$B$2</f>
        <v>0</v>
      </c>
      <c r="F281" s="12">
        <f>E281 * ('Reality Constants'!$B$3 * 2)</f>
        <v>0</v>
      </c>
      <c r="G281" s="12">
        <f>F281 / 'Reality Constants'!$B$4</f>
        <v>1279.978767</v>
      </c>
      <c r="H281" s="12">
        <f>F281 / 'Reality Constants'!$B$5</f>
        <v>0</v>
      </c>
      <c r="I281" s="13">
        <f t="array" ref="I281">IFERROR(INDEX('Price Matrix'!A:E, MATCH(B281, 'Price Matrix'!B:B, 0), 5),"")</f>
        <v>2</v>
      </c>
      <c r="J281" s="12">
        <f t="shared" si="1"/>
        <v>0</v>
      </c>
      <c r="K281" s="12">
        <f>E281*('Reality Constants'!$B$3 * 'Reality Constants'!$B$3)*'Reality Constants'!$B$8</f>
        <v>0</v>
      </c>
    </row>
    <row r="282" ht="22.5" customHeight="1">
      <c r="A282" s="6" t="s">
        <v>385</v>
      </c>
      <c r="B282" s="6" t="s">
        <v>390</v>
      </c>
      <c r="C282" s="11">
        <v>206.975885</v>
      </c>
      <c r="D282" s="11">
        <v>22.1</v>
      </c>
      <c r="E282" s="12">
        <f>C282*'Reality Constants'!$B$2</f>
        <v>0</v>
      </c>
      <c r="F282" s="12">
        <f>E282 * ('Reality Constants'!$B$3 * 2)</f>
        <v>0</v>
      </c>
      <c r="G282" s="12">
        <f>F282 / 'Reality Constants'!$B$4</f>
        <v>1286.201913</v>
      </c>
      <c r="H282" s="12">
        <f>F282 / 'Reality Constants'!$B$5</f>
        <v>0</v>
      </c>
      <c r="I282" s="13">
        <f t="array" ref="I282">IFERROR(INDEX('Price Matrix'!A:E, MATCH(B282, 'Price Matrix'!B:B, 0), 5),"")</f>
        <v>2</v>
      </c>
      <c r="J282" s="12">
        <f t="shared" si="1"/>
        <v>0</v>
      </c>
      <c r="K282" s="12">
        <f>E282*('Reality Constants'!$B$3 * 'Reality Constants'!$B$3)*'Reality Constants'!$B$8</f>
        <v>0</v>
      </c>
    </row>
    <row r="283" ht="22.5" customHeight="1">
      <c r="A283" s="6" t="s">
        <v>385</v>
      </c>
      <c r="B283" s="6" t="s">
        <v>391</v>
      </c>
      <c r="C283" s="11">
        <v>207.976641</v>
      </c>
      <c r="D283" s="11">
        <v>52.4</v>
      </c>
      <c r="E283" s="12">
        <f>C283*'Reality Constants'!$B$2</f>
        <v>0</v>
      </c>
      <c r="F283" s="12">
        <f>E283 * ('Reality Constants'!$B$3 * 2)</f>
        <v>0</v>
      </c>
      <c r="G283" s="12">
        <f>F283 / 'Reality Constants'!$B$4</f>
        <v>1292.420871</v>
      </c>
      <c r="H283" s="12">
        <f>F283 / 'Reality Constants'!$B$5</f>
        <v>0</v>
      </c>
      <c r="I283" s="13">
        <f t="array" ref="I283">IFERROR(INDEX('Price Matrix'!A:E, MATCH(B283, 'Price Matrix'!B:B, 0), 5),"")</f>
        <v>2</v>
      </c>
      <c r="J283" s="12">
        <f t="shared" si="1"/>
        <v>0</v>
      </c>
      <c r="K283" s="12">
        <f>E283*('Reality Constants'!$B$3 * 'Reality Constants'!$B$3)*'Reality Constants'!$B$8</f>
        <v>0</v>
      </c>
    </row>
    <row r="284" ht="22.5" customHeight="1">
      <c r="A284" s="6" t="s">
        <v>392</v>
      </c>
      <c r="B284" s="6" t="s">
        <v>393</v>
      </c>
      <c r="C284" s="11">
        <v>208.980388</v>
      </c>
      <c r="D284" s="11">
        <v>100.0</v>
      </c>
      <c r="E284" s="12">
        <f>C284*'Reality Constants'!$B$2</f>
        <v>0</v>
      </c>
      <c r="F284" s="12">
        <f>E284 * ('Reality Constants'!$B$3 * 2)</f>
        <v>0</v>
      </c>
      <c r="G284" s="12">
        <f>F284 / 'Reality Constants'!$B$4</f>
        <v>1298.658415</v>
      </c>
      <c r="H284" s="12">
        <f>F284 / 'Reality Constants'!$B$5</f>
        <v>0</v>
      </c>
      <c r="I284" s="13">
        <f t="array" ref="I284">IFERROR(INDEX('Price Matrix'!A:E, MATCH(B284, 'Price Matrix'!B:B, 0), 5),"")</f>
        <v>18.5</v>
      </c>
      <c r="J284" s="12">
        <f t="shared" si="1"/>
        <v>0</v>
      </c>
      <c r="K284" s="12">
        <f>E284*('Reality Constants'!$B$3 * 'Reality Constants'!$B$3)*'Reality Constants'!$B$8</f>
        <v>0</v>
      </c>
    </row>
    <row r="285" ht="22.5" customHeight="1">
      <c r="A285" s="6" t="s">
        <v>394</v>
      </c>
      <c r="B285" s="6" t="s">
        <v>395</v>
      </c>
      <c r="C285" s="11">
        <v>232.038054</v>
      </c>
      <c r="D285" s="11">
        <v>100.0</v>
      </c>
      <c r="E285" s="12">
        <f>C285*'Reality Constants'!$B$2</f>
        <v>0</v>
      </c>
      <c r="F285" s="12">
        <f>E285 * ('Reality Constants'!$B$3 * 2)</f>
        <v>0</v>
      </c>
      <c r="G285" s="12">
        <f>F285 / 'Reality Constants'!$B$4</f>
        <v>1441.944741</v>
      </c>
      <c r="H285" s="12">
        <f>F285 / 'Reality Constants'!$B$5</f>
        <v>0</v>
      </c>
      <c r="I285" s="13">
        <f t="array" ref="I285">IFERROR(INDEX('Price Matrix'!A:E, MATCH(B285, 'Price Matrix'!B:B, 0), 5),"")</f>
        <v>176</v>
      </c>
      <c r="J285" s="12">
        <f t="shared" si="1"/>
        <v>0</v>
      </c>
      <c r="K285" s="12">
        <f>E285*('Reality Constants'!$B$3 * 'Reality Constants'!$B$3)*'Reality Constants'!$B$8</f>
        <v>0</v>
      </c>
    </row>
    <row r="286" ht="22.5" customHeight="1">
      <c r="A286" s="6" t="s">
        <v>396</v>
      </c>
      <c r="B286" s="6" t="s">
        <v>397</v>
      </c>
      <c r="C286" s="11">
        <v>234.040947</v>
      </c>
      <c r="D286" s="11">
        <v>0.006</v>
      </c>
      <c r="E286" s="12">
        <f>C286*'Reality Constants'!$B$2</f>
        <v>0</v>
      </c>
      <c r="F286" s="12">
        <f>E286 * ('Reality Constants'!$B$3 * 2)</f>
        <v>0</v>
      </c>
      <c r="G286" s="12">
        <f>F286 / 'Reality Constants'!$B$4</f>
        <v>1454.391239</v>
      </c>
      <c r="H286" s="12">
        <f>F286 / 'Reality Constants'!$B$5</f>
        <v>0</v>
      </c>
      <c r="I286" s="13">
        <f t="array" ref="I286">IFERROR(INDEX('Price Matrix'!A:E, MATCH(B286, 'Price Matrix'!B:B, 0), 5),"")</f>
        <v>158.6</v>
      </c>
      <c r="J286" s="12">
        <f t="shared" si="1"/>
        <v>0</v>
      </c>
      <c r="K286" s="12">
        <f>E286*('Reality Constants'!$B$3 * 'Reality Constants'!$B$3)*'Reality Constants'!$B$8</f>
        <v>0</v>
      </c>
    </row>
    <row r="287" ht="22.5" customHeight="1">
      <c r="A287" s="6" t="s">
        <v>396</v>
      </c>
      <c r="B287" s="6" t="s">
        <v>398</v>
      </c>
      <c r="C287" s="11">
        <v>235.043925</v>
      </c>
      <c r="D287" s="11">
        <v>0.72</v>
      </c>
      <c r="E287" s="12">
        <f>C287*'Reality Constants'!$B$2</f>
        <v>0</v>
      </c>
      <c r="F287" s="12">
        <f>E287 * ('Reality Constants'!$B$3 * 2)</f>
        <v>0</v>
      </c>
      <c r="G287" s="12">
        <f>F287 / 'Reality Constants'!$B$4</f>
        <v>1460.624004</v>
      </c>
      <c r="H287" s="12">
        <f>F287 / 'Reality Constants'!$B$5</f>
        <v>0</v>
      </c>
      <c r="I287" s="13">
        <f t="array" ref="I287">IFERROR(INDEX('Price Matrix'!A:E, MATCH(B287, 'Price Matrix'!B:B, 0), 5),"")</f>
        <v>158.6</v>
      </c>
      <c r="J287" s="12">
        <f t="shared" si="1"/>
        <v>0</v>
      </c>
      <c r="K287" s="12">
        <f>E287*('Reality Constants'!$B$3 * 'Reality Constants'!$B$3)*'Reality Constants'!$B$8</f>
        <v>0</v>
      </c>
    </row>
    <row r="288" ht="22.5" customHeight="1">
      <c r="A288" s="6" t="s">
        <v>396</v>
      </c>
      <c r="B288" s="6" t="s">
        <v>399</v>
      </c>
      <c r="C288" s="11">
        <v>238.050786</v>
      </c>
      <c r="D288" s="11">
        <v>99.27</v>
      </c>
      <c r="E288" s="12">
        <f>C288*'Reality Constants'!$B$2</f>
        <v>0</v>
      </c>
      <c r="F288" s="12">
        <f>E288 * ('Reality Constants'!$B$3 * 2)</f>
        <v>0</v>
      </c>
      <c r="G288" s="12">
        <f>F288 / 'Reality Constants'!$B$4</f>
        <v>1479.30942</v>
      </c>
      <c r="H288" s="12">
        <f>F288 / 'Reality Constants'!$B$5</f>
        <v>0</v>
      </c>
      <c r="I288" s="13">
        <f t="array" ref="I288">IFERROR(INDEX('Price Matrix'!A:E, MATCH(B288, 'Price Matrix'!B:B, 0), 5),"")</f>
        <v>158.6</v>
      </c>
      <c r="J288" s="12">
        <f t="shared" si="1"/>
        <v>0</v>
      </c>
      <c r="K288" s="12">
        <f>E288*('Reality Constants'!$B$3 * 'Reality Constants'!$B$3)*'Reality Constants'!$B$8</f>
        <v>0</v>
      </c>
    </row>
    <row r="289" ht="22.5" customHeight="1">
      <c r="A289" s="14"/>
      <c r="B289" s="14"/>
      <c r="C289" s="14"/>
      <c r="D289" s="15">
        <f>AVERAGE(Atomic_Values[Abundance])</f>
        <v>28.9195892</v>
      </c>
      <c r="E289" s="12">
        <f>AVERAGE(Atomic_Values[Atomic Mass in kg])</f>
        <v>0</v>
      </c>
      <c r="F289" s="12">
        <f>AVERAGE(Atomic_Values[Atomic Energy (J)])</f>
        <v>0</v>
      </c>
      <c r="G289" s="12">
        <f>AVERAGE(Atomic_Values[Atomic Energy (eV)])</f>
        <v>695.5562645</v>
      </c>
      <c r="H289" s="12">
        <f>AVERAGE(Atomic_Values[Atomic Energy (kWh)])</f>
        <v>0</v>
      </c>
      <c r="I289" s="13">
        <f>AVERAGE(Atomic_Values[Price per KG])</f>
        <v>88928.00366</v>
      </c>
      <c r="J289" s="12">
        <f>AVERAGE(Atomic_Values[Atomic Price (USD)])</f>
        <v>0</v>
      </c>
      <c r="K289" s="12">
        <f>AVERAGE(Atomic_Values[E mc2 price (USD)])</f>
        <v>0</v>
      </c>
    </row>
  </sheetData>
  <dataValidations>
    <dataValidation type="custom" allowBlank="1" showDropDown="1" sqref="C2:D288 I2:I288">
      <formula1>AND(ISNUMBER(C2),(NOT(OR(NOT(ISERROR(DATEVALUE(C2))), AND(ISNUMBER(C2), LEFT(CELL("format", C2))="D")))))</formula1>
    </dataValidation>
    <dataValidation allowBlank="1" showDropDown="1" sqref="A2:B288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4.25"/>
    <col customWidth="1" min="3" max="3" width="12.88"/>
    <col customWidth="1" min="4" max="4" width="14.0"/>
    <col customWidth="1" min="5" max="5" width="22.25"/>
    <col customWidth="1" min="6" max="6" width="49.88"/>
  </cols>
  <sheetData>
    <row r="1" ht="22.5" customHeight="1">
      <c r="A1" s="16" t="s">
        <v>19</v>
      </c>
      <c r="B1" s="16" t="s">
        <v>20</v>
      </c>
      <c r="C1" s="16" t="s">
        <v>21</v>
      </c>
      <c r="D1" s="16" t="s">
        <v>400</v>
      </c>
      <c r="E1" s="16" t="s">
        <v>401</v>
      </c>
      <c r="F1" s="16" t="s">
        <v>402</v>
      </c>
    </row>
    <row r="2" ht="22.5" customHeight="1">
      <c r="A2" s="17" t="s">
        <v>30</v>
      </c>
      <c r="B2" s="17" t="s">
        <v>31</v>
      </c>
      <c r="C2" s="18">
        <v>1.007825</v>
      </c>
      <c r="D2" s="18">
        <v>99.99</v>
      </c>
      <c r="E2" s="18">
        <v>1.39</v>
      </c>
      <c r="F2" s="17" t="s">
        <v>403</v>
      </c>
    </row>
    <row r="3" ht="22.5" customHeight="1">
      <c r="A3" s="17" t="s">
        <v>30</v>
      </c>
      <c r="B3" s="17" t="s">
        <v>32</v>
      </c>
      <c r="C3" s="18">
        <v>2.014102</v>
      </c>
      <c r="D3" s="18">
        <v>0.015</v>
      </c>
      <c r="E3" s="18">
        <v>13400.0</v>
      </c>
      <c r="F3" s="17" t="s">
        <v>404</v>
      </c>
    </row>
    <row r="4" ht="22.5" customHeight="1">
      <c r="A4" s="17" t="s">
        <v>33</v>
      </c>
      <c r="B4" s="17" t="s">
        <v>34</v>
      </c>
      <c r="C4" s="18">
        <v>3.016029</v>
      </c>
      <c r="D4" s="18">
        <v>1.0E-4</v>
      </c>
      <c r="E4" s="18">
        <v>2.0E7</v>
      </c>
      <c r="F4" s="17" t="s">
        <v>405</v>
      </c>
    </row>
    <row r="5" ht="22.5" customHeight="1">
      <c r="A5" s="17" t="s">
        <v>33</v>
      </c>
      <c r="B5" s="17" t="s">
        <v>35</v>
      </c>
      <c r="C5" s="18">
        <v>4.002603</v>
      </c>
      <c r="D5" s="18">
        <v>100.0</v>
      </c>
      <c r="E5" s="18">
        <v>40.39</v>
      </c>
      <c r="F5" s="17" t="s">
        <v>406</v>
      </c>
    </row>
    <row r="6" ht="22.5" customHeight="1">
      <c r="A6" s="17" t="s">
        <v>36</v>
      </c>
      <c r="B6" s="17" t="s">
        <v>37</v>
      </c>
      <c r="C6" s="18">
        <v>6.015123</v>
      </c>
      <c r="D6" s="18">
        <v>7.42</v>
      </c>
      <c r="E6" s="18">
        <v>85000.0</v>
      </c>
      <c r="F6" s="17" t="s">
        <v>407</v>
      </c>
    </row>
    <row r="7" ht="22.5" customHeight="1">
      <c r="A7" s="17" t="s">
        <v>36</v>
      </c>
      <c r="B7" s="17" t="s">
        <v>38</v>
      </c>
      <c r="C7" s="18">
        <v>7.016005</v>
      </c>
      <c r="D7" s="18">
        <v>92.58</v>
      </c>
      <c r="E7" s="18">
        <v>8.84</v>
      </c>
      <c r="F7" s="17" t="s">
        <v>408</v>
      </c>
    </row>
    <row r="8" ht="22.5" customHeight="1">
      <c r="A8" s="17" t="s">
        <v>39</v>
      </c>
      <c r="B8" s="17" t="s">
        <v>40</v>
      </c>
      <c r="C8" s="18">
        <v>9.012183</v>
      </c>
      <c r="D8" s="18">
        <v>100.0</v>
      </c>
      <c r="E8" s="18">
        <v>275.0</v>
      </c>
      <c r="F8" s="17" t="s">
        <v>409</v>
      </c>
    </row>
    <row r="9" ht="22.5" customHeight="1">
      <c r="A9" s="17" t="s">
        <v>41</v>
      </c>
      <c r="B9" s="17" t="s">
        <v>42</v>
      </c>
      <c r="C9" s="18">
        <v>10.012938</v>
      </c>
      <c r="D9" s="18">
        <v>19.8</v>
      </c>
      <c r="E9" s="19"/>
      <c r="F9" s="17" t="s">
        <v>410</v>
      </c>
    </row>
    <row r="10" ht="22.5" customHeight="1">
      <c r="A10" s="17" t="s">
        <v>41</v>
      </c>
      <c r="B10" s="17" t="s">
        <v>43</v>
      </c>
      <c r="C10" s="18">
        <v>11.009305</v>
      </c>
      <c r="D10" s="18">
        <v>80.2</v>
      </c>
      <c r="E10" s="18">
        <v>8.5</v>
      </c>
      <c r="F10" s="17" t="s">
        <v>411</v>
      </c>
    </row>
    <row r="11" ht="22.5" customHeight="1">
      <c r="A11" s="17" t="s">
        <v>44</v>
      </c>
      <c r="B11" s="17" t="s">
        <v>45</v>
      </c>
      <c r="C11" s="18">
        <v>12.0</v>
      </c>
      <c r="D11" s="18">
        <v>98.9</v>
      </c>
      <c r="E11" s="18">
        <v>0.53</v>
      </c>
      <c r="F11" s="17" t="s">
        <v>412</v>
      </c>
    </row>
    <row r="12" ht="22.5" customHeight="1">
      <c r="A12" s="17" t="s">
        <v>44</v>
      </c>
      <c r="B12" s="17" t="s">
        <v>46</v>
      </c>
      <c r="C12" s="18">
        <v>13.003355</v>
      </c>
      <c r="D12" s="18">
        <v>1.1</v>
      </c>
      <c r="E12" s="19"/>
      <c r="F12" s="17" t="s">
        <v>413</v>
      </c>
    </row>
    <row r="13" ht="22.5" customHeight="1">
      <c r="A13" s="17" t="s">
        <v>47</v>
      </c>
      <c r="B13" s="17" t="s">
        <v>48</v>
      </c>
      <c r="C13" s="18">
        <v>14.003074</v>
      </c>
      <c r="D13" s="18">
        <v>99.63</v>
      </c>
      <c r="E13" s="18">
        <v>0.11</v>
      </c>
      <c r="F13" s="17" t="s">
        <v>414</v>
      </c>
    </row>
    <row r="14" ht="22.5" customHeight="1">
      <c r="A14" s="17" t="s">
        <v>47</v>
      </c>
      <c r="B14" s="17" t="s">
        <v>49</v>
      </c>
      <c r="C14" s="18">
        <v>15.000109</v>
      </c>
      <c r="D14" s="18">
        <v>0.37</v>
      </c>
      <c r="E14" s="18">
        <v>1310.0</v>
      </c>
      <c r="F14" s="17" t="s">
        <v>415</v>
      </c>
    </row>
    <row r="15" ht="22.5" customHeight="1">
      <c r="A15" s="17" t="s">
        <v>50</v>
      </c>
      <c r="B15" s="17" t="s">
        <v>51</v>
      </c>
      <c r="C15" s="18">
        <v>15.994915</v>
      </c>
      <c r="D15" s="18">
        <v>99.76</v>
      </c>
      <c r="E15" s="18">
        <v>0.08</v>
      </c>
      <c r="F15" s="17" t="s">
        <v>416</v>
      </c>
    </row>
    <row r="16" ht="22.5" customHeight="1">
      <c r="A16" s="17" t="s">
        <v>50</v>
      </c>
      <c r="B16" s="17" t="s">
        <v>52</v>
      </c>
      <c r="C16" s="18">
        <v>16.999131</v>
      </c>
      <c r="D16" s="18">
        <v>0.038</v>
      </c>
      <c r="E16" s="19"/>
      <c r="F16" s="17" t="s">
        <v>417</v>
      </c>
    </row>
    <row r="17" ht="22.5" customHeight="1">
      <c r="A17" s="17" t="s">
        <v>50</v>
      </c>
      <c r="B17" s="17" t="s">
        <v>53</v>
      </c>
      <c r="C17" s="18">
        <v>17.999159</v>
      </c>
      <c r="D17" s="18">
        <v>0.2</v>
      </c>
      <c r="E17" s="19"/>
      <c r="F17" s="17" t="s">
        <v>418</v>
      </c>
    </row>
    <row r="18" ht="22.5" customHeight="1">
      <c r="A18" s="17" t="s">
        <v>54</v>
      </c>
      <c r="B18" s="17" t="s">
        <v>55</v>
      </c>
      <c r="C18" s="18">
        <v>18.998403</v>
      </c>
      <c r="D18" s="18">
        <v>100.0</v>
      </c>
      <c r="E18" s="18">
        <v>15.0</v>
      </c>
      <c r="F18" s="17" t="s">
        <v>419</v>
      </c>
    </row>
    <row r="19" ht="22.5" customHeight="1">
      <c r="A19" s="17" t="s">
        <v>56</v>
      </c>
      <c r="B19" s="17" t="s">
        <v>57</v>
      </c>
      <c r="C19" s="18">
        <v>19.992439</v>
      </c>
      <c r="D19" s="18">
        <v>90.6</v>
      </c>
      <c r="E19" s="18">
        <v>2.0</v>
      </c>
      <c r="F19" s="17" t="s">
        <v>420</v>
      </c>
    </row>
    <row r="20" ht="22.5" customHeight="1">
      <c r="A20" s="17" t="s">
        <v>56</v>
      </c>
      <c r="B20" s="17" t="s">
        <v>58</v>
      </c>
      <c r="C20" s="18">
        <v>20.993845</v>
      </c>
      <c r="D20" s="18">
        <v>0.26</v>
      </c>
      <c r="E20" s="19"/>
      <c r="F20" s="17" t="s">
        <v>421</v>
      </c>
    </row>
    <row r="21" ht="22.5" customHeight="1">
      <c r="A21" s="17" t="s">
        <v>56</v>
      </c>
      <c r="B21" s="17" t="s">
        <v>59</v>
      </c>
      <c r="C21" s="18">
        <v>21.991384</v>
      </c>
      <c r="D21" s="18">
        <v>9.2</v>
      </c>
      <c r="E21" s="19"/>
      <c r="F21" s="17" t="s">
        <v>422</v>
      </c>
    </row>
    <row r="22" ht="22.5" customHeight="1">
      <c r="A22" s="17" t="s">
        <v>60</v>
      </c>
      <c r="B22" s="17" t="s">
        <v>61</v>
      </c>
      <c r="C22" s="18">
        <v>22.98977</v>
      </c>
      <c r="D22" s="18">
        <v>100.0</v>
      </c>
      <c r="E22" s="18">
        <v>1.5</v>
      </c>
      <c r="F22" s="17" t="s">
        <v>423</v>
      </c>
    </row>
    <row r="23" ht="22.5" customHeight="1">
      <c r="A23" s="17" t="s">
        <v>62</v>
      </c>
      <c r="B23" s="17" t="s">
        <v>63</v>
      </c>
      <c r="C23" s="18">
        <v>23.985045</v>
      </c>
      <c r="D23" s="18">
        <v>78.9</v>
      </c>
      <c r="E23" s="18">
        <v>2.5</v>
      </c>
      <c r="F23" s="17" t="s">
        <v>424</v>
      </c>
    </row>
    <row r="24" ht="22.5" customHeight="1">
      <c r="A24" s="17" t="s">
        <v>62</v>
      </c>
      <c r="B24" s="17" t="s">
        <v>64</v>
      </c>
      <c r="C24" s="18">
        <v>24.985839</v>
      </c>
      <c r="D24" s="18">
        <v>10.0</v>
      </c>
      <c r="E24" s="19"/>
      <c r="F24" s="17" t="s">
        <v>425</v>
      </c>
    </row>
    <row r="25" ht="22.5" customHeight="1">
      <c r="A25" s="17" t="s">
        <v>62</v>
      </c>
      <c r="B25" s="17" t="s">
        <v>65</v>
      </c>
      <c r="C25" s="18">
        <v>25.982595</v>
      </c>
      <c r="D25" s="18">
        <v>11.1</v>
      </c>
      <c r="E25" s="19"/>
      <c r="F25" s="17" t="s">
        <v>425</v>
      </c>
    </row>
    <row r="26" ht="22.5" customHeight="1">
      <c r="A26" s="17" t="s">
        <v>66</v>
      </c>
      <c r="B26" s="17" t="s">
        <v>67</v>
      </c>
      <c r="C26" s="18">
        <v>26.981541</v>
      </c>
      <c r="D26" s="18">
        <v>100.0</v>
      </c>
      <c r="E26" s="18">
        <v>2.58</v>
      </c>
      <c r="F26" s="17" t="s">
        <v>426</v>
      </c>
    </row>
    <row r="27" ht="22.5" customHeight="1">
      <c r="A27" s="17" t="s">
        <v>68</v>
      </c>
      <c r="B27" s="17" t="s">
        <v>69</v>
      </c>
      <c r="C27" s="18">
        <v>27.976928</v>
      </c>
      <c r="D27" s="18">
        <v>92.23</v>
      </c>
      <c r="E27" s="18">
        <v>1.2</v>
      </c>
      <c r="F27" s="17" t="s">
        <v>427</v>
      </c>
    </row>
    <row r="28" ht="22.5" customHeight="1">
      <c r="A28" s="17" t="s">
        <v>68</v>
      </c>
      <c r="B28" s="17" t="s">
        <v>70</v>
      </c>
      <c r="C28" s="18">
        <v>28.976496</v>
      </c>
      <c r="D28" s="18">
        <v>4.67</v>
      </c>
      <c r="E28" s="19"/>
      <c r="F28" s="17" t="s">
        <v>428</v>
      </c>
    </row>
    <row r="29" ht="22.5" customHeight="1">
      <c r="A29" s="17" t="s">
        <v>68</v>
      </c>
      <c r="B29" s="17" t="s">
        <v>71</v>
      </c>
      <c r="C29" s="18">
        <v>29.973772</v>
      </c>
      <c r="D29" s="18">
        <v>3.1</v>
      </c>
      <c r="E29" s="19"/>
      <c r="F29" s="17" t="s">
        <v>428</v>
      </c>
    </row>
    <row r="30" ht="22.5" customHeight="1">
      <c r="A30" s="17" t="s">
        <v>72</v>
      </c>
      <c r="B30" s="17" t="s">
        <v>73</v>
      </c>
      <c r="C30" s="18">
        <v>30.973763</v>
      </c>
      <c r="D30" s="18">
        <v>100.0</v>
      </c>
      <c r="E30" s="18">
        <v>2.8</v>
      </c>
      <c r="F30" s="17" t="s">
        <v>429</v>
      </c>
    </row>
    <row r="31" ht="22.5" customHeight="1">
      <c r="A31" s="17" t="s">
        <v>74</v>
      </c>
      <c r="B31" s="17" t="s">
        <v>75</v>
      </c>
      <c r="C31" s="18">
        <v>31.972072</v>
      </c>
      <c r="D31" s="18">
        <v>95.02</v>
      </c>
      <c r="E31" s="18">
        <v>0.15</v>
      </c>
      <c r="F31" s="17" t="s">
        <v>430</v>
      </c>
    </row>
    <row r="32" ht="22.5" customHeight="1">
      <c r="A32" s="17" t="s">
        <v>74</v>
      </c>
      <c r="B32" s="17" t="s">
        <v>76</v>
      </c>
      <c r="C32" s="18">
        <v>32.971459</v>
      </c>
      <c r="D32" s="18">
        <v>0.75</v>
      </c>
      <c r="E32" s="19"/>
      <c r="F32" s="17" t="s">
        <v>431</v>
      </c>
    </row>
    <row r="33" ht="22.5" customHeight="1">
      <c r="A33" s="17" t="s">
        <v>74</v>
      </c>
      <c r="B33" s="17" t="s">
        <v>77</v>
      </c>
      <c r="C33" s="18">
        <v>33.967868</v>
      </c>
      <c r="D33" s="18">
        <v>4.21</v>
      </c>
      <c r="E33" s="19"/>
      <c r="F33" s="17" t="s">
        <v>422</v>
      </c>
    </row>
    <row r="34" ht="22.5" customHeight="1">
      <c r="A34" s="17" t="s">
        <v>74</v>
      </c>
      <c r="B34" s="17" t="s">
        <v>80</v>
      </c>
      <c r="C34" s="18">
        <v>35.967079</v>
      </c>
      <c r="D34" s="18">
        <v>0.02</v>
      </c>
      <c r="E34" s="19"/>
      <c r="F34" s="17" t="s">
        <v>432</v>
      </c>
    </row>
    <row r="35" ht="22.5" customHeight="1">
      <c r="A35" s="17" t="s">
        <v>78</v>
      </c>
      <c r="B35" s="17" t="s">
        <v>79</v>
      </c>
      <c r="C35" s="18">
        <v>34.968853</v>
      </c>
      <c r="D35" s="18">
        <v>75.77</v>
      </c>
      <c r="E35" s="18">
        <v>0.25</v>
      </c>
      <c r="F35" s="17" t="s">
        <v>433</v>
      </c>
    </row>
    <row r="36" ht="22.5" customHeight="1">
      <c r="A36" s="17" t="s">
        <v>78</v>
      </c>
      <c r="B36" s="17" t="s">
        <v>83</v>
      </c>
      <c r="C36" s="18">
        <v>36.965903</v>
      </c>
      <c r="D36" s="18">
        <v>24.23</v>
      </c>
      <c r="E36" s="19"/>
      <c r="F36" s="17" t="s">
        <v>434</v>
      </c>
    </row>
    <row r="37" ht="22.5" customHeight="1">
      <c r="A37" s="17" t="s">
        <v>81</v>
      </c>
      <c r="B37" s="17" t="s">
        <v>82</v>
      </c>
      <c r="C37" s="18">
        <v>35.967546</v>
      </c>
      <c r="D37" s="18">
        <v>0.34</v>
      </c>
      <c r="E37" s="19"/>
      <c r="F37" s="17" t="s">
        <v>417</v>
      </c>
    </row>
    <row r="38" ht="22.5" customHeight="1">
      <c r="A38" s="17" t="s">
        <v>81</v>
      </c>
      <c r="B38" s="17" t="s">
        <v>84</v>
      </c>
      <c r="C38" s="18">
        <v>37.962732</v>
      </c>
      <c r="D38" s="18">
        <v>0.063</v>
      </c>
      <c r="E38" s="19"/>
      <c r="F38" s="17" t="s">
        <v>417</v>
      </c>
    </row>
    <row r="39" ht="22.5" customHeight="1">
      <c r="A39" s="17" t="s">
        <v>81</v>
      </c>
      <c r="B39" s="17" t="s">
        <v>87</v>
      </c>
      <c r="C39" s="18">
        <v>39.962383</v>
      </c>
      <c r="D39" s="18">
        <v>99.6</v>
      </c>
      <c r="E39" s="18">
        <v>1.5</v>
      </c>
      <c r="F39" s="17" t="s">
        <v>435</v>
      </c>
    </row>
    <row r="40" ht="22.5" customHeight="1">
      <c r="A40" s="17" t="s">
        <v>85</v>
      </c>
      <c r="B40" s="17" t="s">
        <v>86</v>
      </c>
      <c r="C40" s="18">
        <v>38.963708</v>
      </c>
      <c r="D40" s="18">
        <v>93.2</v>
      </c>
      <c r="E40" s="18">
        <v>2.5</v>
      </c>
      <c r="F40" s="17" t="s">
        <v>436</v>
      </c>
    </row>
    <row r="41" ht="22.5" customHeight="1">
      <c r="A41" s="17" t="s">
        <v>85</v>
      </c>
      <c r="B41" s="17" t="s">
        <v>90</v>
      </c>
      <c r="C41" s="18">
        <v>39.963999</v>
      </c>
      <c r="D41" s="18">
        <v>0.012</v>
      </c>
      <c r="E41" s="19"/>
      <c r="F41" s="17" t="s">
        <v>437</v>
      </c>
    </row>
    <row r="42" ht="22.5" customHeight="1">
      <c r="A42" s="17" t="s">
        <v>85</v>
      </c>
      <c r="B42" s="17" t="s">
        <v>91</v>
      </c>
      <c r="C42" s="18">
        <v>40.961825</v>
      </c>
      <c r="D42" s="18">
        <v>6.73</v>
      </c>
      <c r="E42" s="19"/>
      <c r="F42" s="17" t="s">
        <v>434</v>
      </c>
    </row>
    <row r="43" ht="22.5" customHeight="1">
      <c r="A43" s="17" t="s">
        <v>88</v>
      </c>
      <c r="B43" s="17" t="s">
        <v>89</v>
      </c>
      <c r="C43" s="18">
        <v>39.962591</v>
      </c>
      <c r="D43" s="18">
        <v>96.95</v>
      </c>
      <c r="E43" s="18">
        <v>1.8</v>
      </c>
      <c r="F43" s="17" t="s">
        <v>438</v>
      </c>
    </row>
    <row r="44" ht="22.5" customHeight="1">
      <c r="A44" s="17" t="s">
        <v>88</v>
      </c>
      <c r="B44" s="17" t="s">
        <v>92</v>
      </c>
      <c r="C44" s="18">
        <v>41.958622</v>
      </c>
      <c r="D44" s="18">
        <v>0.65</v>
      </c>
      <c r="E44" s="19"/>
      <c r="F44" s="17" t="s">
        <v>428</v>
      </c>
    </row>
    <row r="45" ht="22.5" customHeight="1">
      <c r="A45" s="17" t="s">
        <v>88</v>
      </c>
      <c r="B45" s="17" t="s">
        <v>93</v>
      </c>
      <c r="C45" s="18">
        <v>42.95877</v>
      </c>
      <c r="D45" s="18">
        <v>0.14</v>
      </c>
      <c r="E45" s="19"/>
      <c r="F45" s="17" t="s">
        <v>439</v>
      </c>
    </row>
    <row r="46" ht="22.5" customHeight="1">
      <c r="A46" s="17" t="s">
        <v>88</v>
      </c>
      <c r="B46" s="17" t="s">
        <v>94</v>
      </c>
      <c r="C46" s="18">
        <v>43.955485</v>
      </c>
      <c r="D46" s="18">
        <v>2.086</v>
      </c>
      <c r="E46" s="19"/>
      <c r="F46" s="17" t="s">
        <v>434</v>
      </c>
    </row>
    <row r="47" ht="22.5" customHeight="1">
      <c r="A47" s="17" t="s">
        <v>88</v>
      </c>
      <c r="B47" s="17" t="s">
        <v>99</v>
      </c>
      <c r="C47" s="18">
        <v>45.953689</v>
      </c>
      <c r="D47" s="18">
        <v>0.004</v>
      </c>
      <c r="E47" s="19"/>
      <c r="F47" s="17" t="s">
        <v>421</v>
      </c>
    </row>
    <row r="48" ht="22.5" customHeight="1">
      <c r="A48" s="17" t="s">
        <v>88</v>
      </c>
      <c r="B48" s="17" t="s">
        <v>102</v>
      </c>
      <c r="C48" s="18">
        <v>47.952532</v>
      </c>
      <c r="D48" s="18">
        <v>0.19</v>
      </c>
      <c r="E48" s="19"/>
      <c r="F48" s="17" t="s">
        <v>439</v>
      </c>
    </row>
    <row r="49" ht="22.5" customHeight="1">
      <c r="A49" s="17" t="s">
        <v>95</v>
      </c>
      <c r="B49" s="17" t="s">
        <v>96</v>
      </c>
      <c r="C49" s="18">
        <v>44.955914</v>
      </c>
      <c r="D49" s="18">
        <v>100.0</v>
      </c>
      <c r="E49" s="18">
        <v>3778.71</v>
      </c>
      <c r="F49" s="17" t="s">
        <v>440</v>
      </c>
    </row>
    <row r="50" ht="22.5" customHeight="1">
      <c r="A50" s="17" t="s">
        <v>97</v>
      </c>
      <c r="B50" s="17" t="s">
        <v>98</v>
      </c>
      <c r="C50" s="18">
        <v>45.952633</v>
      </c>
      <c r="D50" s="18">
        <v>8.0</v>
      </c>
      <c r="E50" s="18">
        <v>12.0</v>
      </c>
      <c r="F50" s="17" t="s">
        <v>441</v>
      </c>
    </row>
    <row r="51" ht="22.5" customHeight="1">
      <c r="A51" s="17" t="s">
        <v>97</v>
      </c>
      <c r="B51" s="17" t="s">
        <v>100</v>
      </c>
      <c r="C51" s="18">
        <v>46.951765</v>
      </c>
      <c r="D51" s="18">
        <v>7.3</v>
      </c>
      <c r="E51" s="18">
        <v>12.0</v>
      </c>
      <c r="F51" s="17" t="s">
        <v>441</v>
      </c>
    </row>
    <row r="52" ht="22.5" customHeight="1">
      <c r="A52" s="17" t="s">
        <v>97</v>
      </c>
      <c r="B52" s="17" t="s">
        <v>101</v>
      </c>
      <c r="C52" s="18">
        <v>47.947947</v>
      </c>
      <c r="D52" s="18">
        <v>73.8</v>
      </c>
      <c r="E52" s="18">
        <v>12.0</v>
      </c>
      <c r="F52" s="17" t="s">
        <v>441</v>
      </c>
    </row>
    <row r="53" ht="22.5" customHeight="1">
      <c r="A53" s="17" t="s">
        <v>97</v>
      </c>
      <c r="B53" s="17" t="s">
        <v>103</v>
      </c>
      <c r="C53" s="18">
        <v>48.947871</v>
      </c>
      <c r="D53" s="18">
        <v>5.5</v>
      </c>
      <c r="E53" s="18">
        <v>12.0</v>
      </c>
      <c r="F53" s="17" t="s">
        <v>441</v>
      </c>
    </row>
    <row r="54" ht="22.5" customHeight="1">
      <c r="A54" s="17" t="s">
        <v>97</v>
      </c>
      <c r="B54" s="17" t="s">
        <v>104</v>
      </c>
      <c r="C54" s="18">
        <v>49.944786</v>
      </c>
      <c r="D54" s="18">
        <v>5.4</v>
      </c>
      <c r="E54" s="18">
        <v>12.0</v>
      </c>
      <c r="F54" s="17" t="s">
        <v>441</v>
      </c>
    </row>
    <row r="55" ht="22.5" customHeight="1">
      <c r="A55" s="17" t="s">
        <v>107</v>
      </c>
      <c r="B55" s="17" t="s">
        <v>108</v>
      </c>
      <c r="C55" s="18">
        <v>49.947161</v>
      </c>
      <c r="D55" s="18">
        <v>0.25</v>
      </c>
      <c r="E55" s="18">
        <v>35.0</v>
      </c>
      <c r="F55" s="17" t="s">
        <v>442</v>
      </c>
    </row>
    <row r="56" ht="22.5" customHeight="1">
      <c r="A56" s="17" t="s">
        <v>107</v>
      </c>
      <c r="B56" s="17" t="s">
        <v>109</v>
      </c>
      <c r="C56" s="18">
        <v>50.943963</v>
      </c>
      <c r="D56" s="18">
        <v>99.75</v>
      </c>
      <c r="E56" s="18">
        <v>35.0</v>
      </c>
      <c r="F56" s="17" t="s">
        <v>442</v>
      </c>
    </row>
    <row r="57" ht="22.5" customHeight="1">
      <c r="A57" s="17" t="s">
        <v>105</v>
      </c>
      <c r="B57" s="17" t="s">
        <v>106</v>
      </c>
      <c r="C57" s="18">
        <v>49.946046</v>
      </c>
      <c r="D57" s="18">
        <v>4.35</v>
      </c>
      <c r="E57" s="18">
        <v>8.5</v>
      </c>
      <c r="F57" s="17" t="s">
        <v>443</v>
      </c>
    </row>
    <row r="58" ht="22.5" customHeight="1">
      <c r="A58" s="17" t="s">
        <v>105</v>
      </c>
      <c r="B58" s="17" t="s">
        <v>110</v>
      </c>
      <c r="C58" s="18">
        <v>51.94051</v>
      </c>
      <c r="D58" s="18">
        <v>83.79</v>
      </c>
      <c r="E58" s="18">
        <v>8.5</v>
      </c>
      <c r="F58" s="17" t="s">
        <v>443</v>
      </c>
    </row>
    <row r="59" ht="22.5" customHeight="1">
      <c r="A59" s="17" t="s">
        <v>105</v>
      </c>
      <c r="B59" s="17" t="s">
        <v>111</v>
      </c>
      <c r="C59" s="18">
        <v>52.940651</v>
      </c>
      <c r="D59" s="18">
        <v>9.5</v>
      </c>
      <c r="E59" s="18">
        <v>8.5</v>
      </c>
      <c r="F59" s="17" t="s">
        <v>443</v>
      </c>
    </row>
    <row r="60" ht="22.5" customHeight="1">
      <c r="A60" s="17" t="s">
        <v>105</v>
      </c>
      <c r="B60" s="17" t="s">
        <v>112</v>
      </c>
      <c r="C60" s="18">
        <v>53.938882</v>
      </c>
      <c r="D60" s="18">
        <v>2.36</v>
      </c>
      <c r="E60" s="18">
        <v>8.5</v>
      </c>
      <c r="F60" s="17" t="s">
        <v>443</v>
      </c>
    </row>
    <row r="61" ht="22.5" customHeight="1">
      <c r="A61" s="17" t="s">
        <v>115</v>
      </c>
      <c r="B61" s="17" t="s">
        <v>116</v>
      </c>
      <c r="C61" s="18">
        <v>54.938046</v>
      </c>
      <c r="D61" s="18">
        <v>100.0</v>
      </c>
      <c r="E61" s="18">
        <v>1.8</v>
      </c>
      <c r="F61" s="17" t="s">
        <v>444</v>
      </c>
    </row>
    <row r="62" ht="22.5" customHeight="1">
      <c r="A62" s="17" t="s">
        <v>113</v>
      </c>
      <c r="B62" s="17" t="s">
        <v>114</v>
      </c>
      <c r="C62" s="18">
        <v>53.939612</v>
      </c>
      <c r="D62" s="18">
        <v>5.8</v>
      </c>
      <c r="E62" s="18">
        <v>0.1</v>
      </c>
      <c r="F62" s="17" t="s">
        <v>445</v>
      </c>
    </row>
    <row r="63" ht="22.5" customHeight="1">
      <c r="A63" s="17" t="s">
        <v>113</v>
      </c>
      <c r="B63" s="17" t="s">
        <v>117</v>
      </c>
      <c r="C63" s="18">
        <v>55.934939</v>
      </c>
      <c r="D63" s="18">
        <v>91.72</v>
      </c>
      <c r="E63" s="18">
        <v>0.1</v>
      </c>
      <c r="F63" s="17" t="s">
        <v>445</v>
      </c>
    </row>
    <row r="64" ht="22.5" customHeight="1">
      <c r="A64" s="17" t="s">
        <v>113</v>
      </c>
      <c r="B64" s="17" t="s">
        <v>118</v>
      </c>
      <c r="C64" s="18">
        <v>56.935396</v>
      </c>
      <c r="D64" s="18">
        <v>2.2</v>
      </c>
      <c r="E64" s="18">
        <v>0.1</v>
      </c>
      <c r="F64" s="17" t="s">
        <v>445</v>
      </c>
    </row>
    <row r="65" ht="22.5" customHeight="1">
      <c r="A65" s="17" t="s">
        <v>113</v>
      </c>
      <c r="B65" s="17" t="s">
        <v>119</v>
      </c>
      <c r="C65" s="18">
        <v>57.933278</v>
      </c>
      <c r="D65" s="18">
        <v>0.28</v>
      </c>
      <c r="E65" s="18">
        <v>0.1</v>
      </c>
      <c r="F65" s="17" t="s">
        <v>445</v>
      </c>
    </row>
    <row r="66" ht="22.5" customHeight="1">
      <c r="A66" s="17" t="s">
        <v>122</v>
      </c>
      <c r="B66" s="17" t="s">
        <v>123</v>
      </c>
      <c r="C66" s="18">
        <v>58.933198</v>
      </c>
      <c r="D66" s="18">
        <v>100.0</v>
      </c>
      <c r="E66" s="18">
        <v>30.0</v>
      </c>
      <c r="F66" s="17" t="s">
        <v>446</v>
      </c>
    </row>
    <row r="67" ht="22.5" customHeight="1">
      <c r="A67" s="17" t="s">
        <v>120</v>
      </c>
      <c r="B67" s="17" t="s">
        <v>121</v>
      </c>
      <c r="C67" s="18">
        <v>57.935347</v>
      </c>
      <c r="D67" s="18">
        <v>68.27</v>
      </c>
      <c r="E67" s="18">
        <v>15.33</v>
      </c>
      <c r="F67" s="17" t="s">
        <v>426</v>
      </c>
    </row>
    <row r="68" ht="22.5" customHeight="1">
      <c r="A68" s="17" t="s">
        <v>120</v>
      </c>
      <c r="B68" s="17" t="s">
        <v>124</v>
      </c>
      <c r="C68" s="18">
        <v>59.930789</v>
      </c>
      <c r="D68" s="18">
        <v>26.1</v>
      </c>
      <c r="E68" s="18">
        <v>15.33</v>
      </c>
      <c r="F68" s="17" t="s">
        <v>426</v>
      </c>
    </row>
    <row r="69" ht="22.5" customHeight="1">
      <c r="A69" s="17" t="s">
        <v>120</v>
      </c>
      <c r="B69" s="17" t="s">
        <v>125</v>
      </c>
      <c r="C69" s="18">
        <v>60.931059</v>
      </c>
      <c r="D69" s="18">
        <v>1.13</v>
      </c>
      <c r="E69" s="18">
        <v>15.33</v>
      </c>
      <c r="F69" s="17" t="s">
        <v>426</v>
      </c>
    </row>
    <row r="70" ht="22.5" customHeight="1">
      <c r="A70" s="17" t="s">
        <v>120</v>
      </c>
      <c r="B70" s="17" t="s">
        <v>126</v>
      </c>
      <c r="C70" s="18">
        <v>61.928346</v>
      </c>
      <c r="D70" s="18">
        <v>3.59</v>
      </c>
      <c r="E70" s="18">
        <v>15.33</v>
      </c>
      <c r="F70" s="17" t="s">
        <v>426</v>
      </c>
    </row>
    <row r="71" ht="22.5" customHeight="1">
      <c r="A71" s="17" t="s">
        <v>120</v>
      </c>
      <c r="B71" s="17" t="s">
        <v>129</v>
      </c>
      <c r="C71" s="18">
        <v>63.927968</v>
      </c>
      <c r="D71" s="18">
        <v>0.91</v>
      </c>
      <c r="E71" s="18">
        <v>15.33</v>
      </c>
      <c r="F71" s="17" t="s">
        <v>426</v>
      </c>
    </row>
    <row r="72" ht="22.5" customHeight="1">
      <c r="A72" s="17" t="s">
        <v>127</v>
      </c>
      <c r="B72" s="17" t="s">
        <v>128</v>
      </c>
      <c r="C72" s="18">
        <v>62.929599</v>
      </c>
      <c r="D72" s="18">
        <v>69.17</v>
      </c>
      <c r="E72" s="18">
        <v>9.73</v>
      </c>
      <c r="F72" s="17" t="s">
        <v>426</v>
      </c>
    </row>
    <row r="73" ht="22.5" customHeight="1">
      <c r="A73" s="17" t="s">
        <v>127</v>
      </c>
      <c r="B73" s="17" t="s">
        <v>132</v>
      </c>
      <c r="C73" s="18">
        <v>64.927792</v>
      </c>
      <c r="D73" s="18">
        <v>30.83</v>
      </c>
      <c r="E73" s="18">
        <v>9.73</v>
      </c>
      <c r="F73" s="17" t="s">
        <v>426</v>
      </c>
    </row>
    <row r="74" ht="22.5" customHeight="1">
      <c r="A74" s="17" t="s">
        <v>130</v>
      </c>
      <c r="B74" s="17" t="s">
        <v>131</v>
      </c>
      <c r="C74" s="18">
        <v>63.929145</v>
      </c>
      <c r="D74" s="18">
        <v>48.6</v>
      </c>
      <c r="E74" s="18">
        <v>2.81</v>
      </c>
      <c r="F74" s="17" t="s">
        <v>426</v>
      </c>
    </row>
    <row r="75" ht="22.5" customHeight="1">
      <c r="A75" s="17" t="s">
        <v>130</v>
      </c>
      <c r="B75" s="17" t="s">
        <v>133</v>
      </c>
      <c r="C75" s="18">
        <v>65.926035</v>
      </c>
      <c r="D75" s="18">
        <v>27.9</v>
      </c>
      <c r="E75" s="18">
        <v>2.81</v>
      </c>
      <c r="F75" s="17" t="s">
        <v>426</v>
      </c>
    </row>
    <row r="76" ht="22.5" customHeight="1">
      <c r="A76" s="17" t="s">
        <v>130</v>
      </c>
      <c r="B76" s="17" t="s">
        <v>134</v>
      </c>
      <c r="C76" s="18">
        <v>66.927129</v>
      </c>
      <c r="D76" s="18">
        <v>4.1</v>
      </c>
      <c r="E76" s="18">
        <v>2.81</v>
      </c>
      <c r="F76" s="17" t="s">
        <v>426</v>
      </c>
    </row>
    <row r="77" ht="22.5" customHeight="1">
      <c r="A77" s="17" t="s">
        <v>130</v>
      </c>
      <c r="B77" s="17" t="s">
        <v>135</v>
      </c>
      <c r="C77" s="18">
        <v>67.924846</v>
      </c>
      <c r="D77" s="18">
        <v>18.8</v>
      </c>
      <c r="E77" s="18">
        <v>2.81</v>
      </c>
      <c r="F77" s="17" t="s">
        <v>426</v>
      </c>
    </row>
    <row r="78" ht="22.5" customHeight="1">
      <c r="A78" s="17" t="s">
        <v>130</v>
      </c>
      <c r="B78" s="17" t="s">
        <v>140</v>
      </c>
      <c r="C78" s="18">
        <v>69.925325</v>
      </c>
      <c r="D78" s="18">
        <v>0.6</v>
      </c>
      <c r="E78" s="18">
        <v>2.81</v>
      </c>
      <c r="F78" s="17" t="s">
        <v>426</v>
      </c>
    </row>
    <row r="79" ht="22.5" customHeight="1">
      <c r="A79" s="17" t="s">
        <v>136</v>
      </c>
      <c r="B79" s="17" t="s">
        <v>137</v>
      </c>
      <c r="C79" s="18">
        <v>68.925581</v>
      </c>
      <c r="D79" s="18">
        <v>60.1</v>
      </c>
      <c r="E79" s="18">
        <v>198.47</v>
      </c>
      <c r="F79" s="17" t="s">
        <v>447</v>
      </c>
    </row>
    <row r="80" ht="22.5" customHeight="1">
      <c r="A80" s="17" t="s">
        <v>136</v>
      </c>
      <c r="B80" s="17" t="s">
        <v>141</v>
      </c>
      <c r="C80" s="18">
        <v>70.924701</v>
      </c>
      <c r="D80" s="18">
        <v>39.9</v>
      </c>
      <c r="E80" s="18">
        <v>198.47</v>
      </c>
      <c r="F80" s="17" t="s">
        <v>447</v>
      </c>
    </row>
    <row r="81" ht="22.5" customHeight="1">
      <c r="A81" s="17" t="s">
        <v>138</v>
      </c>
      <c r="B81" s="17" t="s">
        <v>139</v>
      </c>
      <c r="C81" s="18">
        <v>69.92425</v>
      </c>
      <c r="D81" s="18">
        <v>20.5</v>
      </c>
      <c r="E81" s="18">
        <v>1782.0</v>
      </c>
      <c r="F81" s="17" t="s">
        <v>447</v>
      </c>
    </row>
    <row r="82" ht="22.5" customHeight="1">
      <c r="A82" s="17" t="s">
        <v>138</v>
      </c>
      <c r="B82" s="17" t="s">
        <v>142</v>
      </c>
      <c r="C82" s="18">
        <v>71.92208</v>
      </c>
      <c r="D82" s="18">
        <v>27.4</v>
      </c>
      <c r="E82" s="18">
        <v>1782.0</v>
      </c>
      <c r="F82" s="17" t="s">
        <v>447</v>
      </c>
    </row>
    <row r="83" ht="22.5" customHeight="1">
      <c r="A83" s="17" t="s">
        <v>138</v>
      </c>
      <c r="B83" s="17" t="s">
        <v>143</v>
      </c>
      <c r="C83" s="18">
        <v>72.923464</v>
      </c>
      <c r="D83" s="18">
        <v>7.8</v>
      </c>
      <c r="E83" s="18">
        <v>1782.0</v>
      </c>
      <c r="F83" s="17" t="s">
        <v>447</v>
      </c>
    </row>
    <row r="84" ht="22.5" customHeight="1">
      <c r="A84" s="17" t="s">
        <v>138</v>
      </c>
      <c r="B84" s="17" t="s">
        <v>144</v>
      </c>
      <c r="C84" s="18">
        <v>73.921179</v>
      </c>
      <c r="D84" s="18">
        <v>36.5</v>
      </c>
      <c r="E84" s="18">
        <v>1782.0</v>
      </c>
      <c r="F84" s="17" t="s">
        <v>447</v>
      </c>
    </row>
    <row r="85" ht="22.5" customHeight="1">
      <c r="A85" s="17" t="s">
        <v>138</v>
      </c>
      <c r="B85" s="17" t="s">
        <v>150</v>
      </c>
      <c r="C85" s="18">
        <v>75.921403</v>
      </c>
      <c r="D85" s="18">
        <v>7.8</v>
      </c>
      <c r="E85" s="18">
        <v>1782.0</v>
      </c>
      <c r="F85" s="17" t="s">
        <v>447</v>
      </c>
    </row>
    <row r="86" ht="22.5" customHeight="1">
      <c r="A86" s="17" t="s">
        <v>147</v>
      </c>
      <c r="B86" s="17" t="s">
        <v>148</v>
      </c>
      <c r="C86" s="18">
        <v>74.921596</v>
      </c>
      <c r="D86" s="18">
        <v>100.0</v>
      </c>
      <c r="E86" s="18">
        <v>2.5</v>
      </c>
      <c r="F86" s="17" t="s">
        <v>448</v>
      </c>
    </row>
    <row r="87" ht="22.5" customHeight="1">
      <c r="A87" s="17" t="s">
        <v>145</v>
      </c>
      <c r="B87" s="17" t="s">
        <v>146</v>
      </c>
      <c r="C87" s="18">
        <v>73.922477</v>
      </c>
      <c r="D87" s="18">
        <v>0.9</v>
      </c>
      <c r="E87" s="18">
        <v>85.0</v>
      </c>
      <c r="F87" s="17" t="s">
        <v>449</v>
      </c>
    </row>
    <row r="88" ht="22.5" customHeight="1">
      <c r="A88" s="17" t="s">
        <v>145</v>
      </c>
      <c r="B88" s="17" t="s">
        <v>149</v>
      </c>
      <c r="C88" s="18">
        <v>75.919207</v>
      </c>
      <c r="D88" s="18">
        <v>9.0</v>
      </c>
      <c r="E88" s="18">
        <v>85.0</v>
      </c>
      <c r="F88" s="17" t="s">
        <v>449</v>
      </c>
    </row>
    <row r="89" ht="22.5" customHeight="1">
      <c r="A89" s="17" t="s">
        <v>145</v>
      </c>
      <c r="B89" s="17" t="s">
        <v>151</v>
      </c>
      <c r="C89" s="18">
        <v>76.919908</v>
      </c>
      <c r="D89" s="18">
        <v>7.6</v>
      </c>
      <c r="E89" s="18">
        <v>85.0</v>
      </c>
      <c r="F89" s="17" t="s">
        <v>449</v>
      </c>
    </row>
    <row r="90" ht="22.5" customHeight="1">
      <c r="A90" s="17" t="s">
        <v>145</v>
      </c>
      <c r="B90" s="17" t="s">
        <v>152</v>
      </c>
      <c r="C90" s="18">
        <v>77.917304</v>
      </c>
      <c r="D90" s="18">
        <v>23.5</v>
      </c>
      <c r="E90" s="18">
        <v>85.0</v>
      </c>
      <c r="F90" s="17" t="s">
        <v>449</v>
      </c>
    </row>
    <row r="91" ht="22.5" customHeight="1">
      <c r="A91" s="17" t="s">
        <v>145</v>
      </c>
      <c r="B91" s="17" t="s">
        <v>158</v>
      </c>
      <c r="C91" s="18">
        <v>79.916521</v>
      </c>
      <c r="D91" s="18">
        <v>49.6</v>
      </c>
      <c r="E91" s="18">
        <v>85.0</v>
      </c>
      <c r="F91" s="17" t="s">
        <v>449</v>
      </c>
    </row>
    <row r="92" ht="22.5" customHeight="1">
      <c r="A92" s="17" t="s">
        <v>145</v>
      </c>
      <c r="B92" s="17" t="s">
        <v>161</v>
      </c>
      <c r="C92" s="18">
        <v>81.916709</v>
      </c>
      <c r="D92" s="18">
        <v>9.4</v>
      </c>
      <c r="E92" s="18">
        <v>85.0</v>
      </c>
      <c r="F92" s="17" t="s">
        <v>449</v>
      </c>
    </row>
    <row r="93" ht="22.5" customHeight="1">
      <c r="A93" s="17" t="s">
        <v>155</v>
      </c>
      <c r="B93" s="17" t="s">
        <v>156</v>
      </c>
      <c r="C93" s="18">
        <v>78.918336</v>
      </c>
      <c r="D93" s="18">
        <v>50.69</v>
      </c>
      <c r="E93" s="18">
        <v>5.2</v>
      </c>
      <c r="F93" s="17" t="s">
        <v>450</v>
      </c>
    </row>
    <row r="94" ht="22.5" customHeight="1">
      <c r="A94" s="17" t="s">
        <v>155</v>
      </c>
      <c r="B94" s="17" t="s">
        <v>159</v>
      </c>
      <c r="C94" s="18">
        <v>80.91629</v>
      </c>
      <c r="D94" s="18">
        <v>49.31</v>
      </c>
      <c r="E94" s="18">
        <v>5.2</v>
      </c>
      <c r="F94" s="17" t="s">
        <v>450</v>
      </c>
    </row>
    <row r="95" ht="22.5" customHeight="1">
      <c r="A95" s="17" t="s">
        <v>153</v>
      </c>
      <c r="B95" s="17" t="s">
        <v>154</v>
      </c>
      <c r="C95" s="18">
        <v>77.920397</v>
      </c>
      <c r="D95" s="18">
        <v>0.35</v>
      </c>
      <c r="E95" s="18">
        <v>15.0</v>
      </c>
      <c r="F95" s="17" t="s">
        <v>451</v>
      </c>
    </row>
    <row r="96" ht="22.5" customHeight="1">
      <c r="A96" s="17" t="s">
        <v>153</v>
      </c>
      <c r="B96" s="17" t="s">
        <v>157</v>
      </c>
      <c r="C96" s="18">
        <v>79.916375</v>
      </c>
      <c r="D96" s="18">
        <v>2.25</v>
      </c>
      <c r="E96" s="18">
        <v>15.0</v>
      </c>
      <c r="F96" s="17" t="s">
        <v>451</v>
      </c>
    </row>
    <row r="97" ht="22.5" customHeight="1">
      <c r="A97" s="17" t="s">
        <v>153</v>
      </c>
      <c r="B97" s="17" t="s">
        <v>160</v>
      </c>
      <c r="C97" s="18">
        <v>81.913483</v>
      </c>
      <c r="D97" s="18">
        <v>11.6</v>
      </c>
      <c r="E97" s="18">
        <v>15.0</v>
      </c>
      <c r="F97" s="17" t="s">
        <v>451</v>
      </c>
    </row>
    <row r="98" ht="22.5" customHeight="1">
      <c r="A98" s="17" t="s">
        <v>153</v>
      </c>
      <c r="B98" s="17" t="s">
        <v>162</v>
      </c>
      <c r="C98" s="18">
        <v>82.914134</v>
      </c>
      <c r="D98" s="18">
        <v>11.5</v>
      </c>
      <c r="E98" s="18">
        <v>15.0</v>
      </c>
      <c r="F98" s="17" t="s">
        <v>451</v>
      </c>
    </row>
    <row r="99" ht="22.5" customHeight="1">
      <c r="A99" s="17" t="s">
        <v>153</v>
      </c>
      <c r="B99" s="17" t="s">
        <v>163</v>
      </c>
      <c r="C99" s="18">
        <v>83.911506</v>
      </c>
      <c r="D99" s="18">
        <v>57.0</v>
      </c>
      <c r="E99" s="18">
        <v>15.0</v>
      </c>
      <c r="F99" s="17" t="s">
        <v>451</v>
      </c>
    </row>
    <row r="100" ht="22.5" customHeight="1">
      <c r="A100" s="17" t="s">
        <v>153</v>
      </c>
      <c r="B100" s="17" t="s">
        <v>169</v>
      </c>
      <c r="C100" s="18">
        <v>85.910614</v>
      </c>
      <c r="D100" s="18">
        <v>17.3</v>
      </c>
      <c r="E100" s="18">
        <v>15.0</v>
      </c>
      <c r="F100" s="17" t="s">
        <v>451</v>
      </c>
    </row>
    <row r="101" ht="22.5" customHeight="1">
      <c r="A101" s="17" t="s">
        <v>166</v>
      </c>
      <c r="B101" s="17" t="s">
        <v>167</v>
      </c>
      <c r="C101" s="18">
        <v>84.9118</v>
      </c>
      <c r="D101" s="18">
        <v>72.17</v>
      </c>
      <c r="E101" s="18">
        <v>125.0</v>
      </c>
      <c r="F101" s="17" t="s">
        <v>452</v>
      </c>
    </row>
    <row r="102" ht="22.5" customHeight="1">
      <c r="A102" s="17" t="s">
        <v>166</v>
      </c>
      <c r="B102" s="17" t="s">
        <v>171</v>
      </c>
      <c r="C102" s="18">
        <v>86.909184</v>
      </c>
      <c r="D102" s="18">
        <v>27.84</v>
      </c>
      <c r="E102" s="18">
        <v>125.0</v>
      </c>
      <c r="F102" s="17" t="s">
        <v>452</v>
      </c>
    </row>
    <row r="103" ht="22.5" customHeight="1">
      <c r="A103" s="17" t="s">
        <v>164</v>
      </c>
      <c r="B103" s="17" t="s">
        <v>165</v>
      </c>
      <c r="C103" s="18">
        <v>83.913428</v>
      </c>
      <c r="D103" s="18">
        <v>0.56</v>
      </c>
      <c r="E103" s="18">
        <v>8.5</v>
      </c>
      <c r="F103" s="17" t="s">
        <v>453</v>
      </c>
    </row>
    <row r="104" ht="22.5" customHeight="1">
      <c r="A104" s="17" t="s">
        <v>164</v>
      </c>
      <c r="B104" s="17" t="s">
        <v>168</v>
      </c>
      <c r="C104" s="18">
        <v>85.909273</v>
      </c>
      <c r="D104" s="18">
        <v>9.86</v>
      </c>
      <c r="E104" s="18">
        <v>8.5</v>
      </c>
      <c r="F104" s="17" t="s">
        <v>453</v>
      </c>
    </row>
    <row r="105" ht="22.5" customHeight="1">
      <c r="A105" s="17" t="s">
        <v>164</v>
      </c>
      <c r="B105" s="17" t="s">
        <v>170</v>
      </c>
      <c r="C105" s="18">
        <v>86.908902</v>
      </c>
      <c r="D105" s="18">
        <v>7.0</v>
      </c>
      <c r="E105" s="18">
        <v>8.5</v>
      </c>
      <c r="F105" s="17" t="s">
        <v>453</v>
      </c>
    </row>
    <row r="106" ht="22.5" customHeight="1">
      <c r="A106" s="17" t="s">
        <v>164</v>
      </c>
      <c r="B106" s="17" t="s">
        <v>172</v>
      </c>
      <c r="C106" s="18">
        <v>87.905625</v>
      </c>
      <c r="D106" s="18">
        <v>82.58</v>
      </c>
      <c r="E106" s="18">
        <v>8.5</v>
      </c>
      <c r="F106" s="17" t="s">
        <v>453</v>
      </c>
    </row>
    <row r="107" ht="22.5" customHeight="1">
      <c r="A107" s="17" t="s">
        <v>173</v>
      </c>
      <c r="B107" s="17" t="s">
        <v>174</v>
      </c>
      <c r="C107" s="18">
        <v>88.905856</v>
      </c>
      <c r="D107" s="18">
        <v>100.0</v>
      </c>
      <c r="E107" s="18">
        <v>28.88</v>
      </c>
      <c r="F107" s="17" t="s">
        <v>447</v>
      </c>
    </row>
    <row r="108" ht="22.5" customHeight="1">
      <c r="A108" s="17" t="s">
        <v>175</v>
      </c>
      <c r="B108" s="17" t="s">
        <v>176</v>
      </c>
      <c r="C108" s="18">
        <v>89.904708</v>
      </c>
      <c r="D108" s="18">
        <v>51.45</v>
      </c>
      <c r="E108" s="18">
        <v>39.0</v>
      </c>
      <c r="F108" s="17" t="s">
        <v>454</v>
      </c>
    </row>
    <row r="109" ht="22.5" customHeight="1">
      <c r="A109" s="17" t="s">
        <v>175</v>
      </c>
      <c r="B109" s="17" t="s">
        <v>177</v>
      </c>
      <c r="C109" s="18">
        <v>90.905644</v>
      </c>
      <c r="D109" s="18">
        <v>11.27</v>
      </c>
      <c r="E109" s="18">
        <v>39.0</v>
      </c>
      <c r="F109" s="17" t="s">
        <v>454</v>
      </c>
    </row>
    <row r="110" ht="22.5" customHeight="1">
      <c r="A110" s="17" t="s">
        <v>175</v>
      </c>
      <c r="B110" s="17" t="s">
        <v>178</v>
      </c>
      <c r="C110" s="18">
        <v>91.905039</v>
      </c>
      <c r="D110" s="18">
        <v>17.17</v>
      </c>
      <c r="E110" s="18">
        <v>39.0</v>
      </c>
      <c r="F110" s="17" t="s">
        <v>454</v>
      </c>
    </row>
    <row r="111" ht="22.5" customHeight="1">
      <c r="A111" s="17" t="s">
        <v>175</v>
      </c>
      <c r="B111" s="17" t="s">
        <v>184</v>
      </c>
      <c r="C111" s="18">
        <v>93.906319</v>
      </c>
      <c r="D111" s="18">
        <v>17.33</v>
      </c>
      <c r="E111" s="18">
        <v>39.0</v>
      </c>
      <c r="F111" s="17" t="s">
        <v>454</v>
      </c>
    </row>
    <row r="112" ht="22.5" customHeight="1">
      <c r="A112" s="17" t="s">
        <v>175</v>
      </c>
      <c r="B112" s="17" t="s">
        <v>189</v>
      </c>
      <c r="C112" s="18">
        <v>95.908272</v>
      </c>
      <c r="D112" s="18">
        <v>2.78</v>
      </c>
      <c r="E112" s="18">
        <v>39.0</v>
      </c>
      <c r="F112" s="17" t="s">
        <v>454</v>
      </c>
    </row>
    <row r="113" ht="22.5" customHeight="1">
      <c r="A113" s="17" t="s">
        <v>181</v>
      </c>
      <c r="B113" s="17" t="s">
        <v>182</v>
      </c>
      <c r="C113" s="18">
        <v>92.906378</v>
      </c>
      <c r="D113" s="18">
        <v>100.0</v>
      </c>
      <c r="E113" s="18">
        <v>45.0</v>
      </c>
      <c r="F113" s="17" t="s">
        <v>455</v>
      </c>
    </row>
    <row r="114" ht="22.5" customHeight="1">
      <c r="A114" s="17" t="s">
        <v>179</v>
      </c>
      <c r="B114" s="17" t="s">
        <v>180</v>
      </c>
      <c r="C114" s="18">
        <v>91.906809</v>
      </c>
      <c r="D114" s="18">
        <v>14.84</v>
      </c>
      <c r="E114" s="18">
        <v>38.0</v>
      </c>
      <c r="F114" s="17" t="s">
        <v>456</v>
      </c>
    </row>
    <row r="115" ht="22.5" customHeight="1">
      <c r="A115" s="17" t="s">
        <v>179</v>
      </c>
      <c r="B115" s="17" t="s">
        <v>183</v>
      </c>
      <c r="C115" s="18">
        <v>93.905086</v>
      </c>
      <c r="D115" s="18">
        <v>9.25</v>
      </c>
      <c r="E115" s="18">
        <v>38.0</v>
      </c>
      <c r="F115" s="17" t="s">
        <v>456</v>
      </c>
    </row>
    <row r="116" ht="22.5" customHeight="1">
      <c r="A116" s="17" t="s">
        <v>179</v>
      </c>
      <c r="B116" s="17" t="s">
        <v>185</v>
      </c>
      <c r="C116" s="18">
        <v>94.905838</v>
      </c>
      <c r="D116" s="18">
        <v>15.92</v>
      </c>
      <c r="E116" s="18">
        <v>38.0</v>
      </c>
      <c r="F116" s="17" t="s">
        <v>456</v>
      </c>
    </row>
    <row r="117" ht="22.5" customHeight="1">
      <c r="A117" s="17" t="s">
        <v>179</v>
      </c>
      <c r="B117" s="17" t="s">
        <v>186</v>
      </c>
      <c r="C117" s="18">
        <v>95.904676</v>
      </c>
      <c r="D117" s="18">
        <v>16.68</v>
      </c>
      <c r="E117" s="18">
        <v>38.0</v>
      </c>
      <c r="F117" s="17" t="s">
        <v>456</v>
      </c>
    </row>
    <row r="118" ht="22.5" customHeight="1">
      <c r="A118" s="17" t="s">
        <v>179</v>
      </c>
      <c r="B118" s="17" t="s">
        <v>190</v>
      </c>
      <c r="C118" s="18">
        <v>96.906018</v>
      </c>
      <c r="D118" s="18">
        <v>9.55</v>
      </c>
      <c r="E118" s="18">
        <v>38.0</v>
      </c>
      <c r="F118" s="17" t="s">
        <v>456</v>
      </c>
    </row>
    <row r="119" ht="22.5" customHeight="1">
      <c r="A119" s="17" t="s">
        <v>179</v>
      </c>
      <c r="B119" s="17" t="s">
        <v>192</v>
      </c>
      <c r="C119" s="18">
        <v>97.905405</v>
      </c>
      <c r="D119" s="18">
        <v>24.13</v>
      </c>
      <c r="E119" s="18">
        <v>38.0</v>
      </c>
      <c r="F119" s="17" t="s">
        <v>456</v>
      </c>
    </row>
    <row r="120" ht="22.5" customHeight="1">
      <c r="A120" s="17" t="s">
        <v>179</v>
      </c>
      <c r="B120" s="17" t="s">
        <v>195</v>
      </c>
      <c r="C120" s="18">
        <v>99.907473</v>
      </c>
      <c r="D120" s="18">
        <v>9.63</v>
      </c>
      <c r="E120" s="18">
        <v>38.0</v>
      </c>
      <c r="F120" s="17" t="s">
        <v>456</v>
      </c>
    </row>
    <row r="121" ht="22.5" customHeight="1">
      <c r="A121" s="17" t="s">
        <v>187</v>
      </c>
      <c r="B121" s="17" t="s">
        <v>188</v>
      </c>
      <c r="C121" s="18">
        <v>95.907596</v>
      </c>
      <c r="D121" s="18">
        <v>5.52</v>
      </c>
      <c r="E121" s="18">
        <v>15500.0</v>
      </c>
      <c r="F121" s="17" t="s">
        <v>457</v>
      </c>
    </row>
    <row r="122" ht="22.5" customHeight="1">
      <c r="A122" s="17" t="s">
        <v>187</v>
      </c>
      <c r="B122" s="17" t="s">
        <v>191</v>
      </c>
      <c r="C122" s="18">
        <v>97.905287</v>
      </c>
      <c r="D122" s="18">
        <v>1.88</v>
      </c>
      <c r="E122" s="18">
        <v>15500.0</v>
      </c>
      <c r="F122" s="17" t="s">
        <v>457</v>
      </c>
    </row>
    <row r="123" ht="22.5" customHeight="1">
      <c r="A123" s="17" t="s">
        <v>187</v>
      </c>
      <c r="B123" s="17" t="s">
        <v>193</v>
      </c>
      <c r="C123" s="18">
        <v>98.905937</v>
      </c>
      <c r="D123" s="18">
        <v>12.7</v>
      </c>
      <c r="E123" s="18">
        <v>15500.0</v>
      </c>
      <c r="F123" s="17" t="s">
        <v>457</v>
      </c>
    </row>
    <row r="124" ht="22.5" customHeight="1">
      <c r="A124" s="17" t="s">
        <v>187</v>
      </c>
      <c r="B124" s="17" t="s">
        <v>194</v>
      </c>
      <c r="C124" s="18">
        <v>99.904218</v>
      </c>
      <c r="D124" s="18">
        <v>12.6</v>
      </c>
      <c r="E124" s="18">
        <v>15500.0</v>
      </c>
      <c r="F124" s="17" t="s">
        <v>457</v>
      </c>
    </row>
    <row r="125" ht="22.5" customHeight="1">
      <c r="A125" s="17" t="s">
        <v>187</v>
      </c>
      <c r="B125" s="17" t="s">
        <v>196</v>
      </c>
      <c r="C125" s="18">
        <v>100.905581</v>
      </c>
      <c r="D125" s="18">
        <v>17.0</v>
      </c>
      <c r="E125" s="18">
        <v>15500.0</v>
      </c>
      <c r="F125" s="17" t="s">
        <v>457</v>
      </c>
    </row>
    <row r="126" ht="22.5" customHeight="1">
      <c r="A126" s="17" t="s">
        <v>187</v>
      </c>
      <c r="B126" s="17" t="s">
        <v>197</v>
      </c>
      <c r="C126" s="18">
        <v>101.904348</v>
      </c>
      <c r="D126" s="18">
        <v>31.6</v>
      </c>
      <c r="E126" s="18">
        <v>15500.0</v>
      </c>
      <c r="F126" s="17" t="s">
        <v>457</v>
      </c>
    </row>
    <row r="127" ht="22.5" customHeight="1">
      <c r="A127" s="17" t="s">
        <v>187</v>
      </c>
      <c r="B127" s="17" t="s">
        <v>203</v>
      </c>
      <c r="C127" s="18">
        <v>103.905422</v>
      </c>
      <c r="D127" s="18">
        <v>18.7</v>
      </c>
      <c r="E127" s="18">
        <v>15500.0</v>
      </c>
      <c r="F127" s="17" t="s">
        <v>457</v>
      </c>
    </row>
    <row r="128" ht="22.5" customHeight="1">
      <c r="A128" s="17" t="s">
        <v>200</v>
      </c>
      <c r="B128" s="17" t="s">
        <v>201</v>
      </c>
      <c r="C128" s="18">
        <v>102.905503</v>
      </c>
      <c r="D128" s="18">
        <v>100.0</v>
      </c>
      <c r="E128" s="18">
        <v>76840.0</v>
      </c>
      <c r="F128" s="17" t="s">
        <v>457</v>
      </c>
    </row>
    <row r="129" ht="22.5" customHeight="1">
      <c r="A129" s="17" t="s">
        <v>198</v>
      </c>
      <c r="B129" s="17" t="s">
        <v>199</v>
      </c>
      <c r="C129" s="18">
        <v>101.905609</v>
      </c>
      <c r="D129" s="18">
        <v>1.02</v>
      </c>
      <c r="E129" s="18">
        <v>36805.0</v>
      </c>
      <c r="F129" s="17" t="s">
        <v>458</v>
      </c>
    </row>
    <row r="130" ht="22.5" customHeight="1">
      <c r="A130" s="17" t="s">
        <v>198</v>
      </c>
      <c r="B130" s="17" t="s">
        <v>202</v>
      </c>
      <c r="C130" s="18">
        <v>103.904026</v>
      </c>
      <c r="D130" s="18">
        <v>11.14</v>
      </c>
      <c r="E130" s="18">
        <v>36805.0</v>
      </c>
      <c r="F130" s="17" t="s">
        <v>458</v>
      </c>
    </row>
    <row r="131" ht="22.5" customHeight="1">
      <c r="A131" s="17" t="s">
        <v>198</v>
      </c>
      <c r="B131" s="17" t="s">
        <v>204</v>
      </c>
      <c r="C131" s="18">
        <v>104.905075</v>
      </c>
      <c r="D131" s="18">
        <v>22.33</v>
      </c>
      <c r="E131" s="18">
        <v>36805.0</v>
      </c>
      <c r="F131" s="17" t="s">
        <v>458</v>
      </c>
    </row>
    <row r="132" ht="22.5" customHeight="1">
      <c r="A132" s="17" t="s">
        <v>198</v>
      </c>
      <c r="B132" s="17" t="s">
        <v>205</v>
      </c>
      <c r="C132" s="18">
        <v>105.903475</v>
      </c>
      <c r="D132" s="18">
        <v>27.33</v>
      </c>
      <c r="E132" s="18">
        <v>36805.0</v>
      </c>
      <c r="F132" s="17" t="s">
        <v>458</v>
      </c>
    </row>
    <row r="133" ht="22.5" customHeight="1">
      <c r="A133" s="17" t="s">
        <v>198</v>
      </c>
      <c r="B133" s="17" t="s">
        <v>210</v>
      </c>
      <c r="C133" s="18">
        <v>107.903894</v>
      </c>
      <c r="D133" s="18">
        <v>26.46</v>
      </c>
      <c r="E133" s="18">
        <v>36805.0</v>
      </c>
      <c r="F133" s="17" t="s">
        <v>458</v>
      </c>
    </row>
    <row r="134" ht="22.5" customHeight="1">
      <c r="A134" s="17" t="s">
        <v>198</v>
      </c>
      <c r="B134" s="17" t="s">
        <v>214</v>
      </c>
      <c r="C134" s="18">
        <v>109.905169</v>
      </c>
      <c r="D134" s="18">
        <v>11.72</v>
      </c>
      <c r="E134" s="18">
        <v>36805.0</v>
      </c>
      <c r="F134" s="17" t="s">
        <v>458</v>
      </c>
    </row>
    <row r="135" ht="22.5" customHeight="1">
      <c r="A135" s="17" t="s">
        <v>208</v>
      </c>
      <c r="B135" s="17" t="s">
        <v>209</v>
      </c>
      <c r="C135" s="18">
        <v>106.905095</v>
      </c>
      <c r="D135" s="18">
        <v>51.84</v>
      </c>
      <c r="E135" s="18">
        <v>1210.0</v>
      </c>
      <c r="F135" s="17" t="s">
        <v>458</v>
      </c>
    </row>
    <row r="136" ht="22.5" customHeight="1">
      <c r="A136" s="17" t="s">
        <v>208</v>
      </c>
      <c r="B136" s="17" t="s">
        <v>212</v>
      </c>
      <c r="C136" s="18">
        <v>108.904754</v>
      </c>
      <c r="D136" s="18">
        <v>48.16</v>
      </c>
      <c r="E136" s="18">
        <v>1210.0</v>
      </c>
      <c r="F136" s="17" t="s">
        <v>458</v>
      </c>
    </row>
    <row r="137" ht="22.5" customHeight="1">
      <c r="A137" s="17" t="s">
        <v>206</v>
      </c>
      <c r="B137" s="17" t="s">
        <v>207</v>
      </c>
      <c r="C137" s="18">
        <v>105.906461</v>
      </c>
      <c r="D137" s="18">
        <v>1.25</v>
      </c>
      <c r="E137" s="18">
        <v>4.5</v>
      </c>
      <c r="F137" s="17" t="s">
        <v>459</v>
      </c>
    </row>
    <row r="138" ht="22.5" customHeight="1">
      <c r="A138" s="17" t="s">
        <v>206</v>
      </c>
      <c r="B138" s="17" t="s">
        <v>211</v>
      </c>
      <c r="C138" s="18">
        <v>107.904186</v>
      </c>
      <c r="D138" s="18">
        <v>0.89</v>
      </c>
      <c r="E138" s="18">
        <v>4.5</v>
      </c>
      <c r="F138" s="17" t="s">
        <v>459</v>
      </c>
    </row>
    <row r="139" ht="22.5" customHeight="1">
      <c r="A139" s="17" t="s">
        <v>206</v>
      </c>
      <c r="B139" s="17" t="s">
        <v>213</v>
      </c>
      <c r="C139" s="18">
        <v>109.903007</v>
      </c>
      <c r="D139" s="18">
        <v>12.49</v>
      </c>
      <c r="E139" s="18">
        <v>4.5</v>
      </c>
      <c r="F139" s="17" t="s">
        <v>459</v>
      </c>
    </row>
    <row r="140" ht="22.5" customHeight="1">
      <c r="A140" s="17" t="s">
        <v>206</v>
      </c>
      <c r="B140" s="17" t="s">
        <v>215</v>
      </c>
      <c r="C140" s="18">
        <v>110.904182</v>
      </c>
      <c r="D140" s="18">
        <v>12.8</v>
      </c>
      <c r="E140" s="18">
        <v>4.5</v>
      </c>
      <c r="F140" s="17" t="s">
        <v>459</v>
      </c>
    </row>
    <row r="141" ht="22.5" customHeight="1">
      <c r="A141" s="17" t="s">
        <v>206</v>
      </c>
      <c r="B141" s="17" t="s">
        <v>216</v>
      </c>
      <c r="C141" s="18">
        <v>111.902761</v>
      </c>
      <c r="D141" s="18">
        <v>24.13</v>
      </c>
      <c r="E141" s="18">
        <v>4.5</v>
      </c>
      <c r="F141" s="17" t="s">
        <v>459</v>
      </c>
    </row>
    <row r="142" ht="22.5" customHeight="1">
      <c r="A142" s="17" t="s">
        <v>206</v>
      </c>
      <c r="B142" s="17" t="s">
        <v>221</v>
      </c>
      <c r="C142" s="18">
        <v>112.904401</v>
      </c>
      <c r="D142" s="18">
        <v>12.22</v>
      </c>
      <c r="E142" s="18">
        <v>4.5</v>
      </c>
      <c r="F142" s="17" t="s">
        <v>459</v>
      </c>
    </row>
    <row r="143" ht="22.5" customHeight="1">
      <c r="A143" s="17" t="s">
        <v>206</v>
      </c>
      <c r="B143" s="17" t="s">
        <v>223</v>
      </c>
      <c r="C143" s="18">
        <v>113.903361</v>
      </c>
      <c r="D143" s="18">
        <v>28.73</v>
      </c>
      <c r="E143" s="18">
        <v>4.5</v>
      </c>
      <c r="F143" s="17" t="s">
        <v>459</v>
      </c>
    </row>
    <row r="144" ht="22.5" customHeight="1">
      <c r="A144" s="17" t="s">
        <v>206</v>
      </c>
      <c r="B144" s="17" t="s">
        <v>227</v>
      </c>
      <c r="C144" s="18">
        <v>115.904758</v>
      </c>
      <c r="D144" s="18">
        <v>7.49</v>
      </c>
      <c r="E144" s="18">
        <v>4.5</v>
      </c>
      <c r="F144" s="17" t="s">
        <v>459</v>
      </c>
    </row>
    <row r="145" ht="22.5" customHeight="1">
      <c r="A145" s="17" t="s">
        <v>219</v>
      </c>
      <c r="B145" s="17" t="s">
        <v>220</v>
      </c>
      <c r="C145" s="18">
        <v>112.904056</v>
      </c>
      <c r="D145" s="18">
        <v>4.3</v>
      </c>
      <c r="E145" s="18">
        <v>322.6</v>
      </c>
      <c r="F145" s="17" t="s">
        <v>447</v>
      </c>
    </row>
    <row r="146" ht="22.5" customHeight="1">
      <c r="A146" s="17" t="s">
        <v>219</v>
      </c>
      <c r="B146" s="17" t="s">
        <v>225</v>
      </c>
      <c r="C146" s="18">
        <v>114.903875</v>
      </c>
      <c r="D146" s="18">
        <v>95.7</v>
      </c>
      <c r="E146" s="18">
        <v>322.6</v>
      </c>
      <c r="F146" s="17" t="s">
        <v>447</v>
      </c>
    </row>
    <row r="147" ht="22.5" customHeight="1">
      <c r="A147" s="17" t="s">
        <v>217</v>
      </c>
      <c r="B147" s="17" t="s">
        <v>218</v>
      </c>
      <c r="C147" s="18">
        <v>111.904826</v>
      </c>
      <c r="D147" s="18">
        <v>0.97</v>
      </c>
      <c r="E147" s="18">
        <v>33.77</v>
      </c>
      <c r="F147" s="17" t="s">
        <v>426</v>
      </c>
    </row>
    <row r="148" ht="22.5" customHeight="1">
      <c r="A148" s="17" t="s">
        <v>217</v>
      </c>
      <c r="B148" s="17" t="s">
        <v>222</v>
      </c>
      <c r="C148" s="18">
        <v>113.902784</v>
      </c>
      <c r="D148" s="18">
        <v>0.65</v>
      </c>
      <c r="E148" s="18">
        <v>33.77</v>
      </c>
      <c r="F148" s="17" t="s">
        <v>426</v>
      </c>
    </row>
    <row r="149" ht="22.5" customHeight="1">
      <c r="A149" s="17" t="s">
        <v>217</v>
      </c>
      <c r="B149" s="17" t="s">
        <v>224</v>
      </c>
      <c r="C149" s="18">
        <v>114.903348</v>
      </c>
      <c r="D149" s="18">
        <v>0.36</v>
      </c>
      <c r="E149" s="18">
        <v>33.77</v>
      </c>
      <c r="F149" s="17" t="s">
        <v>426</v>
      </c>
    </row>
    <row r="150" ht="22.5" customHeight="1">
      <c r="A150" s="17" t="s">
        <v>217</v>
      </c>
      <c r="B150" s="17" t="s">
        <v>226</v>
      </c>
      <c r="C150" s="18">
        <v>115.901744</v>
      </c>
      <c r="D150" s="18">
        <v>14.7</v>
      </c>
      <c r="E150" s="18">
        <v>33.77</v>
      </c>
      <c r="F150" s="17" t="s">
        <v>426</v>
      </c>
    </row>
    <row r="151" ht="22.5" customHeight="1">
      <c r="A151" s="17" t="s">
        <v>217</v>
      </c>
      <c r="B151" s="17" t="s">
        <v>228</v>
      </c>
      <c r="C151" s="18">
        <v>116.902954</v>
      </c>
      <c r="D151" s="18">
        <v>7.7</v>
      </c>
      <c r="E151" s="18">
        <v>33.77</v>
      </c>
      <c r="F151" s="17" t="s">
        <v>426</v>
      </c>
    </row>
    <row r="152" ht="22.5" customHeight="1">
      <c r="A152" s="17" t="s">
        <v>217</v>
      </c>
      <c r="B152" s="17" t="s">
        <v>229</v>
      </c>
      <c r="C152" s="18">
        <v>117.901607</v>
      </c>
      <c r="D152" s="18">
        <v>24.3</v>
      </c>
      <c r="E152" s="18">
        <v>33.77</v>
      </c>
      <c r="F152" s="17" t="s">
        <v>426</v>
      </c>
    </row>
    <row r="153" ht="22.5" customHeight="1">
      <c r="A153" s="17" t="s">
        <v>217</v>
      </c>
      <c r="B153" s="17" t="s">
        <v>230</v>
      </c>
      <c r="C153" s="18">
        <v>118.90331</v>
      </c>
      <c r="D153" s="18">
        <v>8.6</v>
      </c>
      <c r="E153" s="18">
        <v>33.77</v>
      </c>
      <c r="F153" s="17" t="s">
        <v>426</v>
      </c>
    </row>
    <row r="154" ht="22.5" customHeight="1">
      <c r="A154" s="17" t="s">
        <v>217</v>
      </c>
      <c r="B154" s="17" t="s">
        <v>231</v>
      </c>
      <c r="C154" s="18">
        <v>119.902199</v>
      </c>
      <c r="D154" s="18">
        <v>32.4</v>
      </c>
      <c r="E154" s="18">
        <v>33.77</v>
      </c>
      <c r="F154" s="17" t="s">
        <v>426</v>
      </c>
    </row>
    <row r="155" ht="22.5" customHeight="1">
      <c r="A155" s="17" t="s">
        <v>217</v>
      </c>
      <c r="B155" s="17" t="s">
        <v>237</v>
      </c>
      <c r="C155" s="18">
        <v>121.90344</v>
      </c>
      <c r="D155" s="18">
        <v>4.6</v>
      </c>
      <c r="E155" s="18">
        <v>33.77</v>
      </c>
      <c r="F155" s="17" t="s">
        <v>426</v>
      </c>
    </row>
    <row r="156" ht="22.5" customHeight="1">
      <c r="A156" s="17" t="s">
        <v>217</v>
      </c>
      <c r="B156" s="17" t="s">
        <v>241</v>
      </c>
      <c r="C156" s="18">
        <v>123.905271</v>
      </c>
      <c r="D156" s="18">
        <v>5.6</v>
      </c>
      <c r="E156" s="18">
        <v>33.77</v>
      </c>
      <c r="F156" s="17" t="s">
        <v>426</v>
      </c>
    </row>
    <row r="157" ht="22.5" customHeight="1">
      <c r="A157" s="17" t="s">
        <v>234</v>
      </c>
      <c r="B157" s="17" t="s">
        <v>235</v>
      </c>
      <c r="C157" s="18">
        <v>120.903824</v>
      </c>
      <c r="D157" s="18">
        <v>57.3</v>
      </c>
      <c r="E157" s="18">
        <v>11.0</v>
      </c>
      <c r="F157" s="17" t="s">
        <v>460</v>
      </c>
    </row>
    <row r="158" ht="22.5" customHeight="1">
      <c r="A158" s="17" t="s">
        <v>234</v>
      </c>
      <c r="B158" s="17" t="s">
        <v>238</v>
      </c>
      <c r="C158" s="18">
        <v>122.904222</v>
      </c>
      <c r="D158" s="18">
        <v>42.7</v>
      </c>
      <c r="E158" s="18">
        <v>11.0</v>
      </c>
      <c r="F158" s="17" t="s">
        <v>460</v>
      </c>
    </row>
    <row r="159" ht="22.5" customHeight="1">
      <c r="A159" s="17" t="s">
        <v>271</v>
      </c>
      <c r="B159" s="17" t="s">
        <v>272</v>
      </c>
      <c r="C159" s="18">
        <v>137.907114</v>
      </c>
      <c r="D159" s="18">
        <v>0.09</v>
      </c>
      <c r="E159" s="18">
        <v>2.64</v>
      </c>
      <c r="F159" s="17" t="s">
        <v>447</v>
      </c>
    </row>
    <row r="160" ht="22.5" customHeight="1">
      <c r="A160" s="17" t="s">
        <v>271</v>
      </c>
      <c r="B160" s="17" t="s">
        <v>273</v>
      </c>
      <c r="C160" s="18">
        <v>138.906355</v>
      </c>
      <c r="D160" s="18">
        <v>99.91</v>
      </c>
      <c r="E160" s="18">
        <v>2.64</v>
      </c>
      <c r="F160" s="17" t="s">
        <v>447</v>
      </c>
    </row>
    <row r="161" ht="22.5" customHeight="1">
      <c r="A161" s="17" t="s">
        <v>265</v>
      </c>
      <c r="B161" s="17" t="s">
        <v>266</v>
      </c>
      <c r="C161" s="18">
        <v>135.90714</v>
      </c>
      <c r="D161" s="18">
        <v>0.19</v>
      </c>
      <c r="E161" s="18">
        <v>3.72</v>
      </c>
      <c r="F161" s="17" t="s">
        <v>447</v>
      </c>
    </row>
    <row r="162" ht="22.5" customHeight="1">
      <c r="A162" s="17" t="s">
        <v>265</v>
      </c>
      <c r="B162" s="17" t="s">
        <v>270</v>
      </c>
      <c r="C162" s="18">
        <v>137.905996</v>
      </c>
      <c r="D162" s="18">
        <v>0.25</v>
      </c>
      <c r="E162" s="18">
        <v>3.72</v>
      </c>
      <c r="F162" s="17" t="s">
        <v>447</v>
      </c>
    </row>
    <row r="163" ht="22.5" customHeight="1">
      <c r="A163" s="17" t="s">
        <v>265</v>
      </c>
      <c r="B163" s="17" t="s">
        <v>274</v>
      </c>
      <c r="C163" s="18">
        <v>139.905442</v>
      </c>
      <c r="D163" s="18">
        <v>88.48</v>
      </c>
      <c r="E163" s="18">
        <v>3.72</v>
      </c>
      <c r="F163" s="17" t="s">
        <v>447</v>
      </c>
    </row>
    <row r="164" ht="22.5" customHeight="1">
      <c r="A164" s="17" t="s">
        <v>265</v>
      </c>
      <c r="B164" s="17" t="s">
        <v>279</v>
      </c>
      <c r="C164" s="18">
        <v>141.909249</v>
      </c>
      <c r="D164" s="18">
        <v>11.08</v>
      </c>
      <c r="E164" s="18">
        <v>3.72</v>
      </c>
      <c r="F164" s="17" t="s">
        <v>447</v>
      </c>
    </row>
    <row r="165" ht="22.5" customHeight="1">
      <c r="A165" s="17" t="s">
        <v>275</v>
      </c>
      <c r="B165" s="17" t="s">
        <v>276</v>
      </c>
      <c r="C165" s="18">
        <v>140.907657</v>
      </c>
      <c r="D165" s="18">
        <v>100.0</v>
      </c>
      <c r="E165" s="18">
        <v>83.56</v>
      </c>
      <c r="F165" s="17" t="s">
        <v>447</v>
      </c>
    </row>
    <row r="166" ht="22.5" customHeight="1">
      <c r="A166" s="17" t="s">
        <v>277</v>
      </c>
      <c r="B166" s="17" t="s">
        <v>278</v>
      </c>
      <c r="C166" s="18">
        <v>141.907731</v>
      </c>
      <c r="D166" s="18">
        <v>27.13</v>
      </c>
      <c r="E166" s="18">
        <v>80.49</v>
      </c>
      <c r="F166" s="17" t="s">
        <v>447</v>
      </c>
    </row>
    <row r="167" ht="22.5" customHeight="1">
      <c r="A167" s="17" t="s">
        <v>277</v>
      </c>
      <c r="B167" s="17" t="s">
        <v>280</v>
      </c>
      <c r="C167" s="18">
        <v>142.909823</v>
      </c>
      <c r="D167" s="18">
        <v>12.18</v>
      </c>
      <c r="E167" s="18">
        <v>80.49</v>
      </c>
      <c r="F167" s="17" t="s">
        <v>447</v>
      </c>
    </row>
    <row r="168" ht="22.5" customHeight="1">
      <c r="A168" s="17" t="s">
        <v>277</v>
      </c>
      <c r="B168" s="17" t="s">
        <v>281</v>
      </c>
      <c r="C168" s="18">
        <v>143.910096</v>
      </c>
      <c r="D168" s="18">
        <v>23.8</v>
      </c>
      <c r="E168" s="18">
        <v>80.49</v>
      </c>
      <c r="F168" s="17" t="s">
        <v>447</v>
      </c>
    </row>
    <row r="169" ht="22.5" customHeight="1">
      <c r="A169" s="17" t="s">
        <v>277</v>
      </c>
      <c r="B169" s="17" t="s">
        <v>284</v>
      </c>
      <c r="C169" s="18">
        <v>144.912582</v>
      </c>
      <c r="D169" s="18">
        <v>8.3</v>
      </c>
      <c r="E169" s="18">
        <v>80.49</v>
      </c>
      <c r="F169" s="17" t="s">
        <v>447</v>
      </c>
    </row>
    <row r="170" ht="22.5" customHeight="1">
      <c r="A170" s="17" t="s">
        <v>277</v>
      </c>
      <c r="B170" s="17" t="s">
        <v>285</v>
      </c>
      <c r="C170" s="18">
        <v>145.913126</v>
      </c>
      <c r="D170" s="18">
        <v>17.19</v>
      </c>
      <c r="E170" s="18">
        <v>80.49</v>
      </c>
      <c r="F170" s="17" t="s">
        <v>447</v>
      </c>
    </row>
    <row r="171" ht="22.5" customHeight="1">
      <c r="A171" s="17" t="s">
        <v>277</v>
      </c>
      <c r="B171" s="17" t="s">
        <v>288</v>
      </c>
      <c r="C171" s="18">
        <v>147.916901</v>
      </c>
      <c r="D171" s="18">
        <v>5.76</v>
      </c>
      <c r="E171" s="18">
        <v>80.49</v>
      </c>
      <c r="F171" s="17" t="s">
        <v>447</v>
      </c>
    </row>
    <row r="172" ht="22.5" customHeight="1">
      <c r="A172" s="17" t="s">
        <v>277</v>
      </c>
      <c r="B172" s="17" t="s">
        <v>291</v>
      </c>
      <c r="C172" s="18">
        <v>149.9209</v>
      </c>
      <c r="D172" s="18">
        <v>5.64</v>
      </c>
      <c r="E172" s="18">
        <v>80.49</v>
      </c>
      <c r="F172" s="17" t="s">
        <v>447</v>
      </c>
    </row>
    <row r="173" ht="22.5" customHeight="1">
      <c r="A173" s="17" t="s">
        <v>282</v>
      </c>
      <c r="B173" s="17" t="s">
        <v>283</v>
      </c>
      <c r="C173" s="18">
        <v>143.912009</v>
      </c>
      <c r="D173" s="18">
        <v>3.1</v>
      </c>
      <c r="E173" s="18">
        <v>8.97</v>
      </c>
      <c r="F173" s="17" t="s">
        <v>447</v>
      </c>
    </row>
    <row r="174" ht="22.5" customHeight="1">
      <c r="A174" s="17" t="s">
        <v>282</v>
      </c>
      <c r="B174" s="17" t="s">
        <v>286</v>
      </c>
      <c r="C174" s="18">
        <v>146.914907</v>
      </c>
      <c r="D174" s="18">
        <v>15.0</v>
      </c>
      <c r="E174" s="18">
        <v>8.97</v>
      </c>
      <c r="F174" s="17" t="s">
        <v>447</v>
      </c>
    </row>
    <row r="175" ht="22.5" customHeight="1">
      <c r="A175" s="17" t="s">
        <v>282</v>
      </c>
      <c r="B175" s="17" t="s">
        <v>287</v>
      </c>
      <c r="C175" s="18">
        <v>147.914832</v>
      </c>
      <c r="D175" s="18">
        <v>11.3</v>
      </c>
      <c r="E175" s="18">
        <v>8.97</v>
      </c>
      <c r="F175" s="17" t="s">
        <v>447</v>
      </c>
    </row>
    <row r="176" ht="22.5" customHeight="1">
      <c r="A176" s="17" t="s">
        <v>282</v>
      </c>
      <c r="B176" s="17" t="s">
        <v>289</v>
      </c>
      <c r="C176" s="18">
        <v>148.917193</v>
      </c>
      <c r="D176" s="18">
        <v>13.8</v>
      </c>
      <c r="E176" s="18">
        <v>8.97</v>
      </c>
      <c r="F176" s="17" t="s">
        <v>447</v>
      </c>
    </row>
    <row r="177" ht="22.5" customHeight="1">
      <c r="A177" s="17" t="s">
        <v>282</v>
      </c>
      <c r="B177" s="17" t="s">
        <v>290</v>
      </c>
      <c r="C177" s="18">
        <v>149.917285</v>
      </c>
      <c r="D177" s="18">
        <v>7.4</v>
      </c>
      <c r="E177" s="18">
        <v>8.97</v>
      </c>
      <c r="F177" s="17" t="s">
        <v>447</v>
      </c>
    </row>
    <row r="178" ht="22.5" customHeight="1">
      <c r="A178" s="17" t="s">
        <v>282</v>
      </c>
      <c r="B178" s="17" t="s">
        <v>294</v>
      </c>
      <c r="C178" s="18">
        <v>151.919741</v>
      </c>
      <c r="D178" s="18">
        <v>26.7</v>
      </c>
      <c r="E178" s="18">
        <v>8.97</v>
      </c>
      <c r="F178" s="17" t="s">
        <v>447</v>
      </c>
    </row>
    <row r="179" ht="22.5" customHeight="1">
      <c r="A179" s="17" t="s">
        <v>282</v>
      </c>
      <c r="B179" s="17" t="s">
        <v>299</v>
      </c>
      <c r="C179" s="18">
        <v>153.922218</v>
      </c>
      <c r="D179" s="18">
        <v>22.7</v>
      </c>
      <c r="E179" s="18">
        <v>8.97</v>
      </c>
      <c r="F179" s="17" t="s">
        <v>447</v>
      </c>
    </row>
    <row r="180" ht="22.5" customHeight="1">
      <c r="A180" s="17" t="s">
        <v>292</v>
      </c>
      <c r="B180" s="17" t="s">
        <v>293</v>
      </c>
      <c r="C180" s="18">
        <v>150.91986</v>
      </c>
      <c r="D180" s="18">
        <v>47.8</v>
      </c>
      <c r="E180" s="18">
        <v>19.66</v>
      </c>
      <c r="F180" s="17" t="s">
        <v>447</v>
      </c>
    </row>
    <row r="181" ht="22.5" customHeight="1">
      <c r="A181" s="17" t="s">
        <v>292</v>
      </c>
      <c r="B181" s="17" t="s">
        <v>297</v>
      </c>
      <c r="C181" s="18">
        <v>152.921243</v>
      </c>
      <c r="D181" s="18">
        <v>52.2</v>
      </c>
      <c r="E181" s="18">
        <v>19.66</v>
      </c>
      <c r="F181" s="17" t="s">
        <v>447</v>
      </c>
    </row>
    <row r="182" ht="22.5" customHeight="1">
      <c r="A182" s="17" t="s">
        <v>295</v>
      </c>
      <c r="B182" s="17" t="s">
        <v>296</v>
      </c>
      <c r="C182" s="18">
        <v>151.919803</v>
      </c>
      <c r="D182" s="18">
        <v>0.2</v>
      </c>
      <c r="E182" s="18">
        <v>20.09</v>
      </c>
      <c r="F182" s="17" t="s">
        <v>447</v>
      </c>
    </row>
    <row r="183" ht="22.5" customHeight="1">
      <c r="A183" s="17" t="s">
        <v>295</v>
      </c>
      <c r="B183" s="17" t="s">
        <v>298</v>
      </c>
      <c r="C183" s="18">
        <v>153.920876</v>
      </c>
      <c r="D183" s="18">
        <v>2.18</v>
      </c>
      <c r="E183" s="18">
        <v>20.09</v>
      </c>
      <c r="F183" s="17" t="s">
        <v>447</v>
      </c>
    </row>
    <row r="184" ht="22.5" customHeight="1">
      <c r="A184" s="17" t="s">
        <v>295</v>
      </c>
      <c r="B184" s="17" t="s">
        <v>300</v>
      </c>
      <c r="C184" s="18">
        <v>154.822629</v>
      </c>
      <c r="D184" s="18">
        <v>14.8</v>
      </c>
      <c r="E184" s="18">
        <v>20.09</v>
      </c>
      <c r="F184" s="17" t="s">
        <v>447</v>
      </c>
    </row>
    <row r="185" ht="22.5" customHeight="1">
      <c r="A185" s="17" t="s">
        <v>295</v>
      </c>
      <c r="B185" s="17" t="s">
        <v>301</v>
      </c>
      <c r="C185" s="18">
        <v>155.92213</v>
      </c>
      <c r="D185" s="18">
        <v>20.47</v>
      </c>
      <c r="E185" s="18">
        <v>20.09</v>
      </c>
      <c r="F185" s="17" t="s">
        <v>447</v>
      </c>
    </row>
    <row r="186" ht="22.5" customHeight="1">
      <c r="A186" s="17" t="s">
        <v>295</v>
      </c>
      <c r="B186" s="17" t="s">
        <v>304</v>
      </c>
      <c r="C186" s="18">
        <v>156.923967</v>
      </c>
      <c r="D186" s="18">
        <v>15.65</v>
      </c>
      <c r="E186" s="18">
        <v>20.09</v>
      </c>
      <c r="F186" s="17" t="s">
        <v>447</v>
      </c>
    </row>
    <row r="187" ht="22.5" customHeight="1">
      <c r="A187" s="17" t="s">
        <v>295</v>
      </c>
      <c r="B187" s="17" t="s">
        <v>305</v>
      </c>
      <c r="C187" s="18">
        <v>157.924111</v>
      </c>
      <c r="D187" s="18">
        <v>24.84</v>
      </c>
      <c r="E187" s="18">
        <v>20.09</v>
      </c>
      <c r="F187" s="17" t="s">
        <v>447</v>
      </c>
    </row>
    <row r="188" ht="22.5" customHeight="1">
      <c r="A188" s="17" t="s">
        <v>295</v>
      </c>
      <c r="B188" s="17" t="s">
        <v>310</v>
      </c>
      <c r="C188" s="18">
        <v>159.927061</v>
      </c>
      <c r="D188" s="18">
        <v>21.86</v>
      </c>
      <c r="E188" s="18">
        <v>20.09</v>
      </c>
      <c r="F188" s="17" t="s">
        <v>447</v>
      </c>
    </row>
    <row r="189" ht="22.5" customHeight="1">
      <c r="A189" s="17" t="s">
        <v>307</v>
      </c>
      <c r="B189" s="17" t="s">
        <v>308</v>
      </c>
      <c r="C189" s="18">
        <v>158.92535</v>
      </c>
      <c r="D189" s="18">
        <v>100.0</v>
      </c>
      <c r="E189" s="18">
        <v>1066.03</v>
      </c>
      <c r="F189" s="17" t="s">
        <v>447</v>
      </c>
    </row>
    <row r="190" ht="22.5" customHeight="1">
      <c r="A190" s="17" t="s">
        <v>302</v>
      </c>
      <c r="B190" s="17" t="s">
        <v>303</v>
      </c>
      <c r="C190" s="18">
        <v>155.924287</v>
      </c>
      <c r="D190" s="18">
        <v>0.06</v>
      </c>
      <c r="E190" s="18">
        <v>247.0</v>
      </c>
      <c r="F190" s="17" t="s">
        <v>447</v>
      </c>
    </row>
    <row r="191" ht="22.5" customHeight="1">
      <c r="A191" s="17" t="s">
        <v>302</v>
      </c>
      <c r="B191" s="17" t="s">
        <v>306</v>
      </c>
      <c r="C191" s="18">
        <v>157.924412</v>
      </c>
      <c r="D191" s="18">
        <v>0.1</v>
      </c>
      <c r="E191" s="18">
        <v>247.0</v>
      </c>
      <c r="F191" s="17" t="s">
        <v>447</v>
      </c>
    </row>
    <row r="192" ht="22.5" customHeight="1">
      <c r="A192" s="17" t="s">
        <v>302</v>
      </c>
      <c r="B192" s="17" t="s">
        <v>309</v>
      </c>
      <c r="C192" s="18">
        <v>159.925203</v>
      </c>
      <c r="D192" s="18">
        <v>2.34</v>
      </c>
      <c r="E192" s="18">
        <v>247.0</v>
      </c>
      <c r="F192" s="17" t="s">
        <v>447</v>
      </c>
    </row>
    <row r="193" ht="22.5" customHeight="1">
      <c r="A193" s="17" t="s">
        <v>302</v>
      </c>
      <c r="B193" s="17" t="s">
        <v>311</v>
      </c>
      <c r="C193" s="18">
        <v>160.926939</v>
      </c>
      <c r="D193" s="18">
        <v>18.9</v>
      </c>
      <c r="E193" s="18">
        <v>247.0</v>
      </c>
      <c r="F193" s="17" t="s">
        <v>447</v>
      </c>
    </row>
    <row r="194" ht="22.5" customHeight="1">
      <c r="A194" s="17" t="s">
        <v>302</v>
      </c>
      <c r="B194" s="17" t="s">
        <v>312</v>
      </c>
      <c r="C194" s="18">
        <v>161.926805</v>
      </c>
      <c r="D194" s="18">
        <v>25.5</v>
      </c>
      <c r="E194" s="18">
        <v>247.0</v>
      </c>
      <c r="F194" s="17" t="s">
        <v>447</v>
      </c>
    </row>
    <row r="195" ht="22.5" customHeight="1">
      <c r="A195" s="17" t="s">
        <v>302</v>
      </c>
      <c r="B195" s="17" t="s">
        <v>315</v>
      </c>
      <c r="C195" s="18">
        <v>162.928737</v>
      </c>
      <c r="D195" s="18">
        <v>24.9</v>
      </c>
      <c r="E195" s="18">
        <v>247.0</v>
      </c>
      <c r="F195" s="17" t="s">
        <v>447</v>
      </c>
    </row>
    <row r="196" ht="22.5" customHeight="1">
      <c r="A196" s="17" t="s">
        <v>302</v>
      </c>
      <c r="B196" s="17" t="s">
        <v>316</v>
      </c>
      <c r="C196" s="18">
        <v>163.929183</v>
      </c>
      <c r="D196" s="18">
        <v>28.2</v>
      </c>
      <c r="E196" s="18">
        <v>247.0</v>
      </c>
      <c r="F196" s="17" t="s">
        <v>447</v>
      </c>
    </row>
    <row r="197" ht="22.5" customHeight="1">
      <c r="A197" s="17" t="s">
        <v>318</v>
      </c>
      <c r="B197" s="17" t="s">
        <v>319</v>
      </c>
      <c r="C197" s="18">
        <v>164.930332</v>
      </c>
      <c r="D197" s="18">
        <v>100.0</v>
      </c>
      <c r="E197" s="18">
        <v>62671.31</v>
      </c>
      <c r="F197" s="17" t="s">
        <v>447</v>
      </c>
    </row>
    <row r="198" ht="22.5" customHeight="1">
      <c r="A198" s="17" t="s">
        <v>313</v>
      </c>
      <c r="B198" s="17" t="s">
        <v>314</v>
      </c>
      <c r="C198" s="18">
        <v>161.928787</v>
      </c>
      <c r="D198" s="18">
        <v>0.14</v>
      </c>
      <c r="E198" s="18">
        <v>39.63</v>
      </c>
      <c r="F198" s="17" t="s">
        <v>447</v>
      </c>
    </row>
    <row r="199" ht="22.5" customHeight="1">
      <c r="A199" s="17" t="s">
        <v>313</v>
      </c>
      <c r="B199" s="17" t="s">
        <v>317</v>
      </c>
      <c r="C199" s="18">
        <v>163.929211</v>
      </c>
      <c r="D199" s="18">
        <v>1.61</v>
      </c>
      <c r="E199" s="18">
        <v>39.63</v>
      </c>
      <c r="F199" s="17" t="s">
        <v>447</v>
      </c>
    </row>
    <row r="200" ht="22.5" customHeight="1">
      <c r="A200" s="17" t="s">
        <v>313</v>
      </c>
      <c r="B200" s="17" t="s">
        <v>320</v>
      </c>
      <c r="C200" s="18">
        <v>165.930305</v>
      </c>
      <c r="D200" s="18">
        <v>33.6</v>
      </c>
      <c r="E200" s="18">
        <v>39.63</v>
      </c>
      <c r="F200" s="17" t="s">
        <v>447</v>
      </c>
    </row>
    <row r="201" ht="22.5" customHeight="1">
      <c r="A201" s="17" t="s">
        <v>313</v>
      </c>
      <c r="B201" s="17" t="s">
        <v>321</v>
      </c>
      <c r="C201" s="18">
        <v>166.932061</v>
      </c>
      <c r="D201" s="18">
        <v>22.95</v>
      </c>
      <c r="E201" s="18">
        <v>39.63</v>
      </c>
      <c r="F201" s="17" t="s">
        <v>447</v>
      </c>
    </row>
    <row r="202" ht="22.5" customHeight="1">
      <c r="A202" s="17" t="s">
        <v>313</v>
      </c>
      <c r="B202" s="17" t="s">
        <v>322</v>
      </c>
      <c r="C202" s="18">
        <v>167.932383</v>
      </c>
      <c r="D202" s="18">
        <v>26.8</v>
      </c>
      <c r="E202" s="18">
        <v>39.63</v>
      </c>
      <c r="F202" s="17" t="s">
        <v>447</v>
      </c>
    </row>
    <row r="203" ht="22.5" customHeight="1">
      <c r="A203" s="17" t="s">
        <v>313</v>
      </c>
      <c r="B203" s="17" t="s">
        <v>328</v>
      </c>
      <c r="C203" s="18">
        <v>169.935476</v>
      </c>
      <c r="D203" s="18">
        <v>14.9</v>
      </c>
      <c r="E203" s="18">
        <v>39.63</v>
      </c>
      <c r="F203" s="17" t="s">
        <v>447</v>
      </c>
    </row>
    <row r="204" ht="22.5" customHeight="1">
      <c r="A204" s="17" t="s">
        <v>325</v>
      </c>
      <c r="B204" s="17" t="s">
        <v>326</v>
      </c>
      <c r="C204" s="18">
        <v>168.934225</v>
      </c>
      <c r="D204" s="18">
        <v>100.0</v>
      </c>
      <c r="E204" s="18">
        <v>6200.0</v>
      </c>
      <c r="F204" s="17" t="s">
        <v>461</v>
      </c>
    </row>
    <row r="205" ht="22.5" customHeight="1">
      <c r="A205" s="17" t="s">
        <v>323</v>
      </c>
      <c r="B205" s="17" t="s">
        <v>324</v>
      </c>
      <c r="C205" s="18">
        <v>167.933908</v>
      </c>
      <c r="D205" s="18">
        <v>0.13</v>
      </c>
      <c r="E205" s="18">
        <v>12.29</v>
      </c>
      <c r="F205" s="17" t="s">
        <v>447</v>
      </c>
    </row>
    <row r="206" ht="22.5" customHeight="1">
      <c r="A206" s="17" t="s">
        <v>323</v>
      </c>
      <c r="B206" s="17" t="s">
        <v>327</v>
      </c>
      <c r="C206" s="18">
        <v>169.934774</v>
      </c>
      <c r="D206" s="18">
        <v>3.05</v>
      </c>
      <c r="E206" s="18">
        <v>12.29</v>
      </c>
      <c r="F206" s="17" t="s">
        <v>447</v>
      </c>
    </row>
    <row r="207" ht="22.5" customHeight="1">
      <c r="A207" s="17" t="s">
        <v>323</v>
      </c>
      <c r="B207" s="17" t="s">
        <v>329</v>
      </c>
      <c r="C207" s="18">
        <v>170.936338</v>
      </c>
      <c r="D207" s="18">
        <v>14.3</v>
      </c>
      <c r="E207" s="18">
        <v>12.29</v>
      </c>
      <c r="F207" s="17" t="s">
        <v>447</v>
      </c>
    </row>
    <row r="208" ht="22.5" customHeight="1">
      <c r="A208" s="17" t="s">
        <v>323</v>
      </c>
      <c r="B208" s="17" t="s">
        <v>330</v>
      </c>
      <c r="C208" s="18">
        <v>171.936393</v>
      </c>
      <c r="D208" s="18">
        <v>21.9</v>
      </c>
      <c r="E208" s="18">
        <v>12.29</v>
      </c>
      <c r="F208" s="17" t="s">
        <v>447</v>
      </c>
    </row>
    <row r="209" ht="22.5" customHeight="1">
      <c r="A209" s="17" t="s">
        <v>323</v>
      </c>
      <c r="B209" s="17" t="s">
        <v>331</v>
      </c>
      <c r="C209" s="18">
        <v>172.938222</v>
      </c>
      <c r="D209" s="18">
        <v>16.12</v>
      </c>
      <c r="E209" s="18">
        <v>12.29</v>
      </c>
      <c r="F209" s="17" t="s">
        <v>447</v>
      </c>
    </row>
    <row r="210" ht="22.5" customHeight="1">
      <c r="A210" s="17" t="s">
        <v>323</v>
      </c>
      <c r="B210" s="17" t="s">
        <v>332</v>
      </c>
      <c r="C210" s="18">
        <v>173.938873</v>
      </c>
      <c r="D210" s="18">
        <v>31.8</v>
      </c>
      <c r="E210" s="18">
        <v>12.29</v>
      </c>
      <c r="F210" s="17" t="s">
        <v>447</v>
      </c>
    </row>
    <row r="211" ht="22.5" customHeight="1">
      <c r="A211" s="17" t="s">
        <v>323</v>
      </c>
      <c r="B211" s="17" t="s">
        <v>338</v>
      </c>
      <c r="C211" s="18">
        <v>175.942576</v>
      </c>
      <c r="D211" s="18">
        <v>12.7</v>
      </c>
      <c r="E211" s="18">
        <v>12.29</v>
      </c>
      <c r="F211" s="17" t="s">
        <v>447</v>
      </c>
    </row>
    <row r="212" ht="22.5" customHeight="1">
      <c r="A212" s="17" t="s">
        <v>335</v>
      </c>
      <c r="B212" s="17" t="s">
        <v>336</v>
      </c>
      <c r="C212" s="18">
        <v>174.940785</v>
      </c>
      <c r="D212" s="18">
        <v>97.4</v>
      </c>
      <c r="E212" s="18">
        <v>632.86</v>
      </c>
      <c r="F212" s="17" t="s">
        <v>447</v>
      </c>
    </row>
    <row r="213" ht="22.5" customHeight="1">
      <c r="A213" s="17" t="s">
        <v>335</v>
      </c>
      <c r="B213" s="17" t="s">
        <v>339</v>
      </c>
      <c r="C213" s="18">
        <v>175.942694</v>
      </c>
      <c r="D213" s="18">
        <v>2.6</v>
      </c>
      <c r="E213" s="18">
        <v>632.86</v>
      </c>
      <c r="F213" s="17" t="s">
        <v>447</v>
      </c>
    </row>
    <row r="214" ht="22.5" customHeight="1">
      <c r="A214" s="17" t="s">
        <v>333</v>
      </c>
      <c r="B214" s="17" t="s">
        <v>334</v>
      </c>
      <c r="C214" s="18">
        <v>173.940065</v>
      </c>
      <c r="D214" s="18">
        <v>0.16</v>
      </c>
      <c r="E214" s="18">
        <v>850.0</v>
      </c>
      <c r="F214" s="17" t="s">
        <v>462</v>
      </c>
    </row>
    <row r="215" ht="22.5" customHeight="1">
      <c r="A215" s="17" t="s">
        <v>333</v>
      </c>
      <c r="B215" s="17" t="s">
        <v>337</v>
      </c>
      <c r="C215" s="18">
        <v>175.94142</v>
      </c>
      <c r="D215" s="18">
        <v>5.2</v>
      </c>
      <c r="E215" s="18">
        <v>850.0</v>
      </c>
      <c r="F215" s="17" t="s">
        <v>462</v>
      </c>
    </row>
    <row r="216" ht="22.5" customHeight="1">
      <c r="A216" s="17" t="s">
        <v>333</v>
      </c>
      <c r="B216" s="17" t="s">
        <v>340</v>
      </c>
      <c r="C216" s="18">
        <v>176.943233</v>
      </c>
      <c r="D216" s="18">
        <v>18.6</v>
      </c>
      <c r="E216" s="18">
        <v>850.0</v>
      </c>
      <c r="F216" s="17" t="s">
        <v>462</v>
      </c>
    </row>
    <row r="217" ht="22.5" customHeight="1">
      <c r="A217" s="17" t="s">
        <v>333</v>
      </c>
      <c r="B217" s="17" t="s">
        <v>341</v>
      </c>
      <c r="C217" s="18">
        <v>177.94371</v>
      </c>
      <c r="D217" s="18">
        <v>27.1</v>
      </c>
      <c r="E217" s="18">
        <v>850.0</v>
      </c>
      <c r="F217" s="17" t="s">
        <v>462</v>
      </c>
    </row>
    <row r="218" ht="22.5" customHeight="1">
      <c r="A218" s="17" t="s">
        <v>333</v>
      </c>
      <c r="B218" s="17" t="s">
        <v>342</v>
      </c>
      <c r="C218" s="18">
        <v>178.945827</v>
      </c>
      <c r="D218" s="18">
        <v>13.74</v>
      </c>
      <c r="E218" s="18">
        <v>850.0</v>
      </c>
      <c r="F218" s="17" t="s">
        <v>462</v>
      </c>
    </row>
    <row r="219" ht="22.5" customHeight="1">
      <c r="A219" s="17" t="s">
        <v>333</v>
      </c>
      <c r="B219" s="17" t="s">
        <v>343</v>
      </c>
      <c r="C219" s="18">
        <v>179.946561</v>
      </c>
      <c r="D219" s="18">
        <v>35.2</v>
      </c>
      <c r="E219" s="18">
        <v>850.0</v>
      </c>
      <c r="F219" s="17" t="s">
        <v>462</v>
      </c>
    </row>
    <row r="220" ht="22.5" customHeight="1">
      <c r="A220" s="17" t="s">
        <v>346</v>
      </c>
      <c r="B220" s="17" t="s">
        <v>347</v>
      </c>
      <c r="C220" s="18">
        <v>179.947489</v>
      </c>
      <c r="D220" s="18">
        <v>0.012</v>
      </c>
      <c r="E220" s="18">
        <v>275.0</v>
      </c>
      <c r="F220" s="17" t="s">
        <v>463</v>
      </c>
    </row>
    <row r="221" ht="22.5" customHeight="1">
      <c r="A221" s="17" t="s">
        <v>346</v>
      </c>
      <c r="B221" s="17" t="s">
        <v>348</v>
      </c>
      <c r="C221" s="18">
        <v>180.948014</v>
      </c>
      <c r="D221" s="18">
        <v>99.99</v>
      </c>
      <c r="E221" s="18">
        <v>275.0</v>
      </c>
      <c r="F221" s="17" t="s">
        <v>463</v>
      </c>
    </row>
    <row r="222" ht="22.5" customHeight="1">
      <c r="A222" s="17" t="s">
        <v>344</v>
      </c>
      <c r="B222" s="17" t="s">
        <v>345</v>
      </c>
      <c r="C222" s="18">
        <v>179.946727</v>
      </c>
      <c r="D222" s="18">
        <v>0.13</v>
      </c>
      <c r="E222" s="18">
        <v>42.0</v>
      </c>
      <c r="F222" s="17" t="s">
        <v>464</v>
      </c>
    </row>
    <row r="223" ht="22.5" customHeight="1">
      <c r="A223" s="17" t="s">
        <v>344</v>
      </c>
      <c r="B223" s="17" t="s">
        <v>349</v>
      </c>
      <c r="C223" s="18">
        <v>181.948225</v>
      </c>
      <c r="D223" s="18">
        <v>26.3</v>
      </c>
      <c r="E223" s="18">
        <v>42.0</v>
      </c>
      <c r="F223" s="17" t="s">
        <v>464</v>
      </c>
    </row>
    <row r="224" ht="22.5" customHeight="1">
      <c r="A224" s="17" t="s">
        <v>344</v>
      </c>
      <c r="B224" s="17" t="s">
        <v>350</v>
      </c>
      <c r="C224" s="18">
        <v>182.950245</v>
      </c>
      <c r="D224" s="18">
        <v>14.3</v>
      </c>
      <c r="E224" s="18">
        <v>42.0</v>
      </c>
      <c r="F224" s="17" t="s">
        <v>464</v>
      </c>
    </row>
    <row r="225" ht="22.5" customHeight="1">
      <c r="A225" s="17" t="s">
        <v>344</v>
      </c>
      <c r="B225" s="17" t="s">
        <v>351</v>
      </c>
      <c r="C225" s="18">
        <v>183.950953</v>
      </c>
      <c r="D225" s="18">
        <v>30.67</v>
      </c>
      <c r="E225" s="18">
        <v>42.0</v>
      </c>
      <c r="F225" s="17" t="s">
        <v>464</v>
      </c>
    </row>
    <row r="226" ht="22.5" customHeight="1">
      <c r="A226" s="17" t="s">
        <v>344</v>
      </c>
      <c r="B226" s="17" t="s">
        <v>357</v>
      </c>
      <c r="C226" s="18">
        <v>185.954377</v>
      </c>
      <c r="D226" s="18">
        <v>28.6</v>
      </c>
      <c r="E226" s="18">
        <v>42.0</v>
      </c>
      <c r="F226" s="17" t="s">
        <v>464</v>
      </c>
    </row>
    <row r="227" ht="22.5" customHeight="1">
      <c r="A227" s="17" t="s">
        <v>354</v>
      </c>
      <c r="B227" s="17" t="s">
        <v>355</v>
      </c>
      <c r="C227" s="18">
        <v>184.952977</v>
      </c>
      <c r="D227" s="18">
        <v>37.4</v>
      </c>
      <c r="E227" s="18">
        <v>2100.0</v>
      </c>
      <c r="F227" s="17" t="s">
        <v>465</v>
      </c>
    </row>
    <row r="228" ht="22.5" customHeight="1">
      <c r="A228" s="17" t="s">
        <v>354</v>
      </c>
      <c r="B228" s="17" t="s">
        <v>359</v>
      </c>
      <c r="C228" s="18">
        <v>186.955765</v>
      </c>
      <c r="D228" s="18">
        <v>62.6</v>
      </c>
      <c r="E228" s="18">
        <v>2100.0</v>
      </c>
      <c r="F228" s="17" t="s">
        <v>465</v>
      </c>
    </row>
    <row r="229" ht="22.5" customHeight="1">
      <c r="A229" s="17" t="s">
        <v>352</v>
      </c>
      <c r="B229" s="17" t="s">
        <v>353</v>
      </c>
      <c r="C229" s="18">
        <v>183.952514</v>
      </c>
      <c r="D229" s="18">
        <v>0.02</v>
      </c>
      <c r="E229" s="18">
        <v>12000.0</v>
      </c>
      <c r="F229" s="17" t="s">
        <v>457</v>
      </c>
    </row>
    <row r="230" ht="22.5" customHeight="1">
      <c r="A230" s="17" t="s">
        <v>352</v>
      </c>
      <c r="B230" s="17" t="s">
        <v>356</v>
      </c>
      <c r="C230" s="18">
        <v>185.953852</v>
      </c>
      <c r="D230" s="18">
        <v>1.58</v>
      </c>
      <c r="E230" s="18">
        <v>12000.0</v>
      </c>
      <c r="F230" s="17" t="s">
        <v>457</v>
      </c>
    </row>
    <row r="231" ht="22.5" customHeight="1">
      <c r="A231" s="17" t="s">
        <v>352</v>
      </c>
      <c r="B231" s="17" t="s">
        <v>358</v>
      </c>
      <c r="C231" s="18">
        <v>186.955762</v>
      </c>
      <c r="D231" s="18">
        <v>1.6</v>
      </c>
      <c r="E231" s="18">
        <v>12000.0</v>
      </c>
      <c r="F231" s="17" t="s">
        <v>457</v>
      </c>
    </row>
    <row r="232" ht="22.5" customHeight="1">
      <c r="A232" s="17" t="s">
        <v>352</v>
      </c>
      <c r="B232" s="17" t="s">
        <v>360</v>
      </c>
      <c r="C232" s="18">
        <v>187.95585</v>
      </c>
      <c r="D232" s="18">
        <v>13.3</v>
      </c>
      <c r="E232" s="18">
        <v>12000.0</v>
      </c>
      <c r="F232" s="17" t="s">
        <v>457</v>
      </c>
    </row>
    <row r="233" ht="22.5" customHeight="1">
      <c r="A233" s="17" t="s">
        <v>352</v>
      </c>
      <c r="B233" s="17" t="s">
        <v>361</v>
      </c>
      <c r="C233" s="18">
        <v>188.958156</v>
      </c>
      <c r="D233" s="18">
        <v>16.1</v>
      </c>
      <c r="E233" s="18">
        <v>12000.0</v>
      </c>
      <c r="F233" s="17" t="s">
        <v>457</v>
      </c>
    </row>
    <row r="234" ht="22.5" customHeight="1">
      <c r="A234" s="17" t="s">
        <v>352</v>
      </c>
      <c r="B234" s="17" t="s">
        <v>362</v>
      </c>
      <c r="C234" s="18">
        <v>189.958455</v>
      </c>
      <c r="D234" s="18">
        <v>26.4</v>
      </c>
      <c r="E234" s="18">
        <v>12000.0</v>
      </c>
      <c r="F234" s="17" t="s">
        <v>457</v>
      </c>
    </row>
    <row r="235" ht="22.5" customHeight="1">
      <c r="A235" s="17" t="s">
        <v>352</v>
      </c>
      <c r="B235" s="17" t="s">
        <v>368</v>
      </c>
      <c r="C235" s="18">
        <v>191.961487</v>
      </c>
      <c r="D235" s="18">
        <v>41.0</v>
      </c>
      <c r="E235" s="18">
        <v>12000.0</v>
      </c>
      <c r="F235" s="17" t="s">
        <v>457</v>
      </c>
    </row>
    <row r="236" ht="22.5" customHeight="1">
      <c r="A236" s="17" t="s">
        <v>365</v>
      </c>
      <c r="B236" s="17" t="s">
        <v>366</v>
      </c>
      <c r="C236" s="18">
        <v>190.960603</v>
      </c>
      <c r="D236" s="18">
        <v>37.3</v>
      </c>
      <c r="E236" s="18">
        <v>50000.0</v>
      </c>
      <c r="F236" s="17" t="s">
        <v>457</v>
      </c>
    </row>
    <row r="237" ht="22.5" customHeight="1">
      <c r="A237" s="17" t="s">
        <v>365</v>
      </c>
      <c r="B237" s="17" t="s">
        <v>369</v>
      </c>
      <c r="C237" s="18">
        <v>192.962942</v>
      </c>
      <c r="D237" s="18">
        <v>62.7</v>
      </c>
      <c r="E237" s="18">
        <v>50000.0</v>
      </c>
      <c r="F237" s="17" t="s">
        <v>457</v>
      </c>
    </row>
    <row r="238" ht="22.5" customHeight="1">
      <c r="A238" s="17" t="s">
        <v>363</v>
      </c>
      <c r="B238" s="17" t="s">
        <v>364</v>
      </c>
      <c r="C238" s="18">
        <v>189.959937</v>
      </c>
      <c r="D238" s="18">
        <v>0.01</v>
      </c>
      <c r="E238" s="18">
        <v>42400.0</v>
      </c>
      <c r="F238" s="17" t="s">
        <v>458</v>
      </c>
    </row>
    <row r="239" ht="22.5" customHeight="1">
      <c r="A239" s="17" t="s">
        <v>363</v>
      </c>
      <c r="B239" s="17" t="s">
        <v>367</v>
      </c>
      <c r="C239" s="18">
        <v>191.961049</v>
      </c>
      <c r="D239" s="18">
        <v>0.79</v>
      </c>
      <c r="E239" s="18">
        <v>42400.0</v>
      </c>
      <c r="F239" s="17" t="s">
        <v>458</v>
      </c>
    </row>
    <row r="240" ht="22.5" customHeight="1">
      <c r="A240" s="17" t="s">
        <v>363</v>
      </c>
      <c r="B240" s="17" t="s">
        <v>370</v>
      </c>
      <c r="C240" s="18">
        <v>193.962679</v>
      </c>
      <c r="D240" s="18">
        <v>32.9</v>
      </c>
      <c r="E240" s="18">
        <v>42400.0</v>
      </c>
      <c r="F240" s="17" t="s">
        <v>458</v>
      </c>
    </row>
    <row r="241" ht="22.5" customHeight="1">
      <c r="A241" s="17" t="s">
        <v>363</v>
      </c>
      <c r="B241" s="17" t="s">
        <v>371</v>
      </c>
      <c r="C241" s="18">
        <v>194.964785</v>
      </c>
      <c r="D241" s="18">
        <v>33.8</v>
      </c>
      <c r="E241" s="18">
        <v>42400.0</v>
      </c>
      <c r="F241" s="17" t="s">
        <v>458</v>
      </c>
    </row>
    <row r="242" ht="22.5" customHeight="1">
      <c r="A242" s="17" t="s">
        <v>363</v>
      </c>
      <c r="B242" s="17" t="s">
        <v>372</v>
      </c>
      <c r="C242" s="18">
        <v>195.964947</v>
      </c>
      <c r="D242" s="18">
        <v>25.3</v>
      </c>
      <c r="E242" s="18">
        <v>42400.0</v>
      </c>
      <c r="F242" s="17" t="s">
        <v>458</v>
      </c>
    </row>
    <row r="243" ht="22.5" customHeight="1">
      <c r="A243" s="17" t="s">
        <v>363</v>
      </c>
      <c r="B243" s="17" t="s">
        <v>378</v>
      </c>
      <c r="C243" s="18">
        <v>197.967879</v>
      </c>
      <c r="D243" s="18">
        <v>7.2</v>
      </c>
      <c r="E243" s="18">
        <v>42400.0</v>
      </c>
      <c r="F243" s="17" t="s">
        <v>458</v>
      </c>
    </row>
    <row r="244" ht="22.5" customHeight="1">
      <c r="A244" s="17" t="s">
        <v>375</v>
      </c>
      <c r="B244" s="17" t="s">
        <v>376</v>
      </c>
      <c r="C244" s="18">
        <v>196.96656</v>
      </c>
      <c r="D244" s="18">
        <v>100.0</v>
      </c>
      <c r="E244" s="18">
        <v>107828.0</v>
      </c>
      <c r="F244" s="17" t="s">
        <v>458</v>
      </c>
    </row>
    <row r="245" ht="22.5" customHeight="1">
      <c r="A245" s="17" t="s">
        <v>373</v>
      </c>
      <c r="B245" s="17" t="s">
        <v>374</v>
      </c>
      <c r="C245" s="18">
        <v>195.965812</v>
      </c>
      <c r="D245" s="18">
        <v>0.15</v>
      </c>
      <c r="E245" s="18">
        <v>28.5</v>
      </c>
      <c r="F245" s="17" t="s">
        <v>466</v>
      </c>
    </row>
    <row r="246" ht="22.5" customHeight="1">
      <c r="A246" s="17" t="s">
        <v>373</v>
      </c>
      <c r="B246" s="17" t="s">
        <v>377</v>
      </c>
      <c r="C246" s="18">
        <v>197.96676</v>
      </c>
      <c r="D246" s="18">
        <v>10.1</v>
      </c>
      <c r="E246" s="18">
        <v>28.5</v>
      </c>
      <c r="F246" s="17" t="s">
        <v>466</v>
      </c>
    </row>
    <row r="247" ht="22.5" customHeight="1">
      <c r="A247" s="17" t="s">
        <v>373</v>
      </c>
      <c r="B247" s="17" t="s">
        <v>379</v>
      </c>
      <c r="C247" s="18">
        <v>198.968269</v>
      </c>
      <c r="D247" s="18">
        <v>17.0</v>
      </c>
      <c r="E247" s="18">
        <v>28.5</v>
      </c>
      <c r="F247" s="17" t="s">
        <v>466</v>
      </c>
    </row>
    <row r="248" ht="22.5" customHeight="1">
      <c r="A248" s="17" t="s">
        <v>373</v>
      </c>
      <c r="B248" s="17" t="s">
        <v>380</v>
      </c>
      <c r="C248" s="18">
        <v>199.968316</v>
      </c>
      <c r="D248" s="18">
        <v>23.1</v>
      </c>
      <c r="E248" s="18">
        <v>28.5</v>
      </c>
      <c r="F248" s="17" t="s">
        <v>466</v>
      </c>
    </row>
    <row r="249" ht="22.5" customHeight="1">
      <c r="A249" s="17" t="s">
        <v>373</v>
      </c>
      <c r="B249" s="17" t="s">
        <v>381</v>
      </c>
      <c r="C249" s="18">
        <v>200.970293</v>
      </c>
      <c r="D249" s="18">
        <v>13.2</v>
      </c>
      <c r="E249" s="18">
        <v>28.5</v>
      </c>
      <c r="F249" s="17" t="s">
        <v>466</v>
      </c>
    </row>
    <row r="250" ht="22.5" customHeight="1">
      <c r="A250" s="17" t="s">
        <v>373</v>
      </c>
      <c r="B250" s="17" t="s">
        <v>382</v>
      </c>
      <c r="C250" s="18">
        <v>201.970632</v>
      </c>
      <c r="D250" s="18">
        <v>29.65</v>
      </c>
      <c r="E250" s="18">
        <v>28.5</v>
      </c>
      <c r="F250" s="17" t="s">
        <v>466</v>
      </c>
    </row>
    <row r="251" ht="22.5" customHeight="1">
      <c r="A251" s="17" t="s">
        <v>373</v>
      </c>
      <c r="B251" s="17" t="s">
        <v>387</v>
      </c>
      <c r="C251" s="18">
        <v>203.973481</v>
      </c>
      <c r="D251" s="18">
        <v>6.8</v>
      </c>
      <c r="E251" s="18">
        <v>28.5</v>
      </c>
      <c r="F251" s="17" t="s">
        <v>466</v>
      </c>
    </row>
    <row r="252" ht="22.5" customHeight="1">
      <c r="A252" s="17" t="s">
        <v>383</v>
      </c>
      <c r="B252" s="17" t="s">
        <v>384</v>
      </c>
      <c r="C252" s="18">
        <v>202.972336</v>
      </c>
      <c r="D252" s="18">
        <v>29.52</v>
      </c>
      <c r="E252" s="18">
        <v>4500.0</v>
      </c>
      <c r="F252" s="17" t="s">
        <v>467</v>
      </c>
    </row>
    <row r="253" ht="22.5" customHeight="1">
      <c r="A253" s="17" t="s">
        <v>383</v>
      </c>
      <c r="B253" s="17" t="s">
        <v>388</v>
      </c>
      <c r="C253" s="18">
        <v>204.97441</v>
      </c>
      <c r="D253" s="18">
        <v>70.48</v>
      </c>
      <c r="E253" s="18">
        <v>4500.0</v>
      </c>
      <c r="F253" s="17" t="s">
        <v>467</v>
      </c>
    </row>
    <row r="254" ht="22.5" customHeight="1">
      <c r="A254" s="17" t="s">
        <v>385</v>
      </c>
      <c r="B254" s="17" t="s">
        <v>386</v>
      </c>
      <c r="C254" s="18">
        <v>203.973037</v>
      </c>
      <c r="D254" s="18">
        <v>1.4</v>
      </c>
      <c r="E254" s="18">
        <v>2.0</v>
      </c>
      <c r="F254" s="17" t="s">
        <v>426</v>
      </c>
    </row>
    <row r="255" ht="22.5" customHeight="1">
      <c r="A255" s="17" t="s">
        <v>385</v>
      </c>
      <c r="B255" s="17" t="s">
        <v>389</v>
      </c>
      <c r="C255" s="18">
        <v>205.974455</v>
      </c>
      <c r="D255" s="18">
        <v>24.1</v>
      </c>
      <c r="E255" s="18">
        <v>2.0</v>
      </c>
      <c r="F255" s="17" t="s">
        <v>426</v>
      </c>
    </row>
    <row r="256" ht="22.5" customHeight="1">
      <c r="A256" s="17" t="s">
        <v>385</v>
      </c>
      <c r="B256" s="17" t="s">
        <v>390</v>
      </c>
      <c r="C256" s="18">
        <v>206.975885</v>
      </c>
      <c r="D256" s="18">
        <v>22.1</v>
      </c>
      <c r="E256" s="18">
        <v>2.0</v>
      </c>
      <c r="F256" s="17" t="s">
        <v>426</v>
      </c>
    </row>
    <row r="257" ht="22.5" customHeight="1">
      <c r="A257" s="17" t="s">
        <v>385</v>
      </c>
      <c r="B257" s="17" t="s">
        <v>391</v>
      </c>
      <c r="C257" s="18">
        <v>207.976641</v>
      </c>
      <c r="D257" s="18">
        <v>52.4</v>
      </c>
      <c r="E257" s="18">
        <v>2.0</v>
      </c>
      <c r="F257" s="17" t="s">
        <v>426</v>
      </c>
    </row>
    <row r="258" ht="22.5" customHeight="1">
      <c r="A258" s="17" t="s">
        <v>392</v>
      </c>
      <c r="B258" s="17" t="s">
        <v>393</v>
      </c>
      <c r="C258" s="18">
        <v>208.980388</v>
      </c>
      <c r="D258" s="18">
        <v>100.0</v>
      </c>
      <c r="E258" s="18">
        <v>18.5</v>
      </c>
      <c r="F258" s="17" t="s">
        <v>468</v>
      </c>
    </row>
    <row r="259" ht="22.5" customHeight="1">
      <c r="A259" s="17" t="s">
        <v>394</v>
      </c>
      <c r="B259" s="17" t="s">
        <v>395</v>
      </c>
      <c r="C259" s="18">
        <v>232.038054</v>
      </c>
      <c r="D259" s="18">
        <v>100.0</v>
      </c>
      <c r="E259" s="18">
        <v>176.0</v>
      </c>
      <c r="F259" s="17" t="s">
        <v>469</v>
      </c>
    </row>
    <row r="260" ht="22.5" customHeight="1">
      <c r="A260" s="17" t="s">
        <v>396</v>
      </c>
      <c r="B260" s="17" t="s">
        <v>397</v>
      </c>
      <c r="C260" s="18">
        <v>234.040947</v>
      </c>
      <c r="D260" s="18">
        <v>0.006</v>
      </c>
      <c r="E260" s="18">
        <v>158.6</v>
      </c>
      <c r="F260" s="17" t="s">
        <v>458</v>
      </c>
    </row>
    <row r="261" ht="22.5" customHeight="1">
      <c r="A261" s="17" t="s">
        <v>396</v>
      </c>
      <c r="B261" s="17" t="s">
        <v>398</v>
      </c>
      <c r="C261" s="18">
        <v>235.043925</v>
      </c>
      <c r="D261" s="18">
        <v>0.72</v>
      </c>
      <c r="E261" s="18">
        <v>158.6</v>
      </c>
      <c r="F261" s="17" t="s">
        <v>458</v>
      </c>
    </row>
    <row r="262" ht="22.5" customHeight="1">
      <c r="A262" s="17" t="s">
        <v>396</v>
      </c>
      <c r="B262" s="17" t="s">
        <v>399</v>
      </c>
      <c r="C262" s="18">
        <v>238.050786</v>
      </c>
      <c r="D262" s="18">
        <v>99.27</v>
      </c>
      <c r="E262" s="18">
        <v>158.6</v>
      </c>
      <c r="F262" s="17" t="s">
        <v>458</v>
      </c>
    </row>
  </sheetData>
  <dataValidations>
    <dataValidation type="custom" allowBlank="1" showDropDown="1" sqref="C2:E262">
      <formula1>AND(ISNUMBER(C2),(NOT(OR(NOT(ISERROR(DATEVALUE(C2))), AND(ISNUMBER(C2), LEFT(CELL("format", C2))="D")))))</formula1>
    </dataValidation>
    <dataValidation allowBlank="1" showDropDown="1" sqref="A2:B26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4.25"/>
    <col customWidth="1" min="3" max="3" width="12.88"/>
    <col customWidth="1" min="4" max="4" width="17.13"/>
    <col customWidth="1" min="5" max="6" width="22.63"/>
    <col customWidth="1" min="7" max="7" width="19.75"/>
    <col customWidth="1" min="8" max="8" width="21.0"/>
    <col customWidth="1" min="9" max="9" width="22.25"/>
    <col customWidth="1" min="10" max="10" width="19.75"/>
    <col customWidth="1" min="11" max="11" width="27.13"/>
  </cols>
  <sheetData>
    <row r="1" ht="22.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0" t="s">
        <v>25</v>
      </c>
      <c r="H1" s="10" t="s">
        <v>26</v>
      </c>
      <c r="I1" s="10" t="s">
        <v>27</v>
      </c>
      <c r="J1" s="10" t="s">
        <v>28</v>
      </c>
      <c r="K1" s="10" t="s">
        <v>470</v>
      </c>
    </row>
    <row r="2" ht="22.5" customHeight="1">
      <c r="A2" s="17" t="s">
        <v>30</v>
      </c>
      <c r="B2" s="17" t="s">
        <v>471</v>
      </c>
      <c r="C2" s="18">
        <v>1.007825</v>
      </c>
      <c r="D2" s="18">
        <v>99.9885</v>
      </c>
      <c r="E2" s="12">
        <f>C2*'Reality Constants'!$B$2</f>
        <v>0</v>
      </c>
      <c r="F2" s="12">
        <f>E2 * ('Reality Constants'!$B$3 * 2)</f>
        <v>0</v>
      </c>
      <c r="G2" s="12">
        <f>F2 / 'Reality Constants'!$B$4</f>
        <v>6.26288634</v>
      </c>
      <c r="H2" s="12">
        <f>F2 / 'Reality Constants'!$B$5</f>
        <v>0</v>
      </c>
      <c r="I2" s="13">
        <f t="array" ref="I2">IFERROR(INDEX(all_stable_isotopes_complete_no!A:E, MATCH(B2, all_stable_isotopes_complete_no!B:B, 0), 5),"")</f>
        <v>1.5</v>
      </c>
      <c r="J2" s="12">
        <f t="shared" ref="J2:J286" si="1">IF(I2 = 0, "", I2 * E2)</f>
        <v>0</v>
      </c>
      <c r="K2" s="12">
        <f t="shared" ref="K2:K286" si="2">IF(I2 = 0, "", (I2 * E2) *(D2 / 100))</f>
        <v>0</v>
      </c>
    </row>
    <row r="3" ht="22.5" customHeight="1">
      <c r="A3" s="17" t="s">
        <v>30</v>
      </c>
      <c r="B3" s="17" t="s">
        <v>472</v>
      </c>
      <c r="C3" s="18">
        <v>2.014102</v>
      </c>
      <c r="D3" s="18">
        <v>0.0115</v>
      </c>
      <c r="E3" s="12">
        <f>C3*'Reality Constants'!$B$2</f>
        <v>0</v>
      </c>
      <c r="F3" s="12">
        <f>E3 * ('Reality Constants'!$B$3 * 2)</f>
        <v>0</v>
      </c>
      <c r="G3" s="12">
        <f>F3 / 'Reality Constants'!$B$4</f>
        <v>12.51615301</v>
      </c>
      <c r="H3" s="12">
        <f>F3 / 'Reality Constants'!$B$5</f>
        <v>0</v>
      </c>
      <c r="I3" s="13">
        <f t="array" ref="I3">IFERROR(INDEX(all_stable_isotopes_complete_no!A:E, MATCH(B3, all_stable_isotopes_complete_no!B:B, 0), 5),"")</f>
        <v>13400</v>
      </c>
      <c r="J3" s="12">
        <f t="shared" si="1"/>
        <v>0</v>
      </c>
      <c r="K3" s="12">
        <f t="shared" si="2"/>
        <v>0</v>
      </c>
    </row>
    <row r="4" ht="22.5" customHeight="1">
      <c r="A4" s="17" t="s">
        <v>33</v>
      </c>
      <c r="B4" s="17" t="s">
        <v>473</v>
      </c>
      <c r="C4" s="18">
        <v>3.016029</v>
      </c>
      <c r="D4" s="18">
        <v>1.37E-4</v>
      </c>
      <c r="E4" s="12">
        <f>C4*'Reality Constants'!$B$2</f>
        <v>0</v>
      </c>
      <c r="F4" s="12">
        <f>E4 * ('Reality Constants'!$B$3 * 2)</f>
        <v>0</v>
      </c>
      <c r="G4" s="12">
        <f>F4 / 'Reality Constants'!$B$4</f>
        <v>18.74238764</v>
      </c>
      <c r="H4" s="12">
        <f>F4 / 'Reality Constants'!$B$5</f>
        <v>0</v>
      </c>
      <c r="I4" s="13">
        <f t="array" ref="I4">IFERROR(INDEX(all_stable_isotopes_complete_no!A:E, MATCH(B4, all_stable_isotopes_complete_no!B:B, 0), 5),"")</f>
        <v>1000000</v>
      </c>
      <c r="J4" s="12">
        <f t="shared" si="1"/>
        <v>0</v>
      </c>
      <c r="K4" s="12">
        <f t="shared" si="2"/>
        <v>0</v>
      </c>
    </row>
    <row r="5" ht="22.5" customHeight="1">
      <c r="A5" s="17" t="s">
        <v>33</v>
      </c>
      <c r="B5" s="17" t="s">
        <v>474</v>
      </c>
      <c r="C5" s="18">
        <v>4.002603</v>
      </c>
      <c r="D5" s="18">
        <v>99.999863</v>
      </c>
      <c r="E5" s="12">
        <f>C5*'Reality Constants'!$B$2</f>
        <v>0</v>
      </c>
      <c r="F5" s="12">
        <f>E5 * ('Reality Constants'!$B$3 * 2)</f>
        <v>0</v>
      </c>
      <c r="G5" s="12">
        <f>F5 / 'Reality Constants'!$B$4</f>
        <v>24.87321475</v>
      </c>
      <c r="H5" s="12">
        <f>F5 / 'Reality Constants'!$B$5</f>
        <v>0</v>
      </c>
      <c r="I5" s="13">
        <f t="array" ref="I5">IFERROR(INDEX(all_stable_isotopes_complete_no!A:E, MATCH(B5, all_stable_isotopes_complete_no!B:B, 0), 5),"")</f>
        <v>40</v>
      </c>
      <c r="J5" s="12">
        <f t="shared" si="1"/>
        <v>0</v>
      </c>
      <c r="K5" s="12">
        <f t="shared" si="2"/>
        <v>0</v>
      </c>
    </row>
    <row r="6" ht="22.5" customHeight="1">
      <c r="A6" s="17" t="s">
        <v>36</v>
      </c>
      <c r="B6" s="17" t="s">
        <v>475</v>
      </c>
      <c r="C6" s="18">
        <v>6.015123</v>
      </c>
      <c r="D6" s="18">
        <v>7.42</v>
      </c>
      <c r="E6" s="12">
        <f>C6*'Reality Constants'!$B$2</f>
        <v>0</v>
      </c>
      <c r="F6" s="12">
        <f>E6 * ('Reality Constants'!$B$3 * 2)</f>
        <v>0</v>
      </c>
      <c r="G6" s="12">
        <f>F6 / 'Reality Constants'!$B$4</f>
        <v>37.3795368</v>
      </c>
      <c r="H6" s="12">
        <f>F6 / 'Reality Constants'!$B$5</f>
        <v>0</v>
      </c>
      <c r="I6" s="13">
        <f t="array" ref="I6">IFERROR(INDEX(all_stable_isotopes_complete_no!A:E, MATCH(B6, all_stable_isotopes_complete_no!B:B, 0), 5),"")</f>
        <v>85000</v>
      </c>
      <c r="J6" s="12">
        <f t="shared" si="1"/>
        <v>0</v>
      </c>
      <c r="K6" s="12">
        <f t="shared" si="2"/>
        <v>0</v>
      </c>
    </row>
    <row r="7" ht="22.5" customHeight="1">
      <c r="A7" s="17" t="s">
        <v>36</v>
      </c>
      <c r="B7" s="17" t="s">
        <v>476</v>
      </c>
      <c r="C7" s="18">
        <v>7.016005</v>
      </c>
      <c r="D7" s="18">
        <v>92.58</v>
      </c>
      <c r="E7" s="12">
        <f>C7*'Reality Constants'!$B$2</f>
        <v>0</v>
      </c>
      <c r="F7" s="12">
        <f>E7 * ('Reality Constants'!$B$3 * 2)</f>
        <v>0</v>
      </c>
      <c r="G7" s="12">
        <f>F7 / 'Reality Constants'!$B$4</f>
        <v>43.59927753</v>
      </c>
      <c r="H7" s="12">
        <f>F7 / 'Reality Constants'!$B$5</f>
        <v>0</v>
      </c>
      <c r="I7" s="13">
        <f t="array" ref="I7">IFERROR(INDEX(all_stable_isotopes_complete_no!A:E, MATCH(B7, all_stable_isotopes_complete_no!B:B, 0), 5),"")</f>
        <v>12.85</v>
      </c>
      <c r="J7" s="12">
        <f t="shared" si="1"/>
        <v>0</v>
      </c>
      <c r="K7" s="12">
        <f t="shared" si="2"/>
        <v>0</v>
      </c>
    </row>
    <row r="8" ht="22.5" customHeight="1">
      <c r="A8" s="17" t="s">
        <v>39</v>
      </c>
      <c r="B8" s="17" t="s">
        <v>477</v>
      </c>
      <c r="C8" s="18">
        <v>9.012183</v>
      </c>
      <c r="D8" s="18">
        <v>100.0</v>
      </c>
      <c r="E8" s="12">
        <f>C8*'Reality Constants'!$B$2</f>
        <v>0</v>
      </c>
      <c r="F8" s="12">
        <f>E8 * ('Reality Constants'!$B$3 * 2)</f>
        <v>0</v>
      </c>
      <c r="G8" s="12">
        <f>F8 / 'Reality Constants'!$B$4</f>
        <v>56.00404615</v>
      </c>
      <c r="H8" s="12">
        <f>F8 / 'Reality Constants'!$B$5</f>
        <v>0</v>
      </c>
      <c r="I8" s="13">
        <f t="array" ref="I8">IFERROR(INDEX(all_stable_isotopes_complete_no!A:E, MATCH(B8, all_stable_isotopes_complete_no!B:B, 0), 5),"")</f>
        <v>275</v>
      </c>
      <c r="J8" s="12">
        <f t="shared" si="1"/>
        <v>0</v>
      </c>
      <c r="K8" s="12">
        <f t="shared" si="2"/>
        <v>0</v>
      </c>
    </row>
    <row r="9" ht="22.5" customHeight="1">
      <c r="A9" s="17" t="s">
        <v>41</v>
      </c>
      <c r="B9" s="17" t="s">
        <v>478</v>
      </c>
      <c r="C9" s="18">
        <v>10.012938</v>
      </c>
      <c r="D9" s="18">
        <v>19.9</v>
      </c>
      <c r="E9" s="12">
        <f>C9*'Reality Constants'!$B$2</f>
        <v>0</v>
      </c>
      <c r="F9" s="12">
        <f>E9 * ('Reality Constants'!$B$3 * 2)</f>
        <v>0</v>
      </c>
      <c r="G9" s="12">
        <f>F9 / 'Reality Constants'!$B$4</f>
        <v>62.22299767</v>
      </c>
      <c r="H9" s="12">
        <f>F9 / 'Reality Constants'!$B$5</f>
        <v>0</v>
      </c>
      <c r="I9" s="13">
        <f t="array" ref="I9">IFERROR(INDEX(all_stable_isotopes_complete_no!A:E, MATCH(B9, all_stable_isotopes_complete_no!B:B, 0), 5),"")</f>
        <v>8500</v>
      </c>
      <c r="J9" s="12">
        <f t="shared" si="1"/>
        <v>0</v>
      </c>
      <c r="K9" s="12">
        <f t="shared" si="2"/>
        <v>0</v>
      </c>
    </row>
    <row r="10" ht="22.5" customHeight="1">
      <c r="A10" s="17" t="s">
        <v>41</v>
      </c>
      <c r="B10" s="17" t="s">
        <v>479</v>
      </c>
      <c r="C10" s="18">
        <v>11.009305</v>
      </c>
      <c r="D10" s="18">
        <v>80.1</v>
      </c>
      <c r="E10" s="12">
        <f>C10*'Reality Constants'!$B$2</f>
        <v>0</v>
      </c>
      <c r="F10" s="12">
        <f>E10 * ('Reality Constants'!$B$3 * 2)</f>
        <v>0</v>
      </c>
      <c r="G10" s="12">
        <f>F10 / 'Reality Constants'!$B$4</f>
        <v>68.41468102</v>
      </c>
      <c r="H10" s="12">
        <f>F10 / 'Reality Constants'!$B$5</f>
        <v>0</v>
      </c>
      <c r="I10" s="13">
        <f t="array" ref="I10">IFERROR(INDEX(all_stable_isotopes_complete_no!A:E, MATCH(B10, all_stable_isotopes_complete_no!B:B, 0), 5),"")</f>
        <v>8.5</v>
      </c>
      <c r="J10" s="12">
        <f t="shared" si="1"/>
        <v>0</v>
      </c>
      <c r="K10" s="12">
        <f t="shared" si="2"/>
        <v>0</v>
      </c>
    </row>
    <row r="11" ht="22.5" customHeight="1">
      <c r="A11" s="17" t="s">
        <v>44</v>
      </c>
      <c r="B11" s="17" t="s">
        <v>480</v>
      </c>
      <c r="C11" s="18">
        <v>12.0</v>
      </c>
      <c r="D11" s="18">
        <v>98.93</v>
      </c>
      <c r="E11" s="12">
        <f>C11*'Reality Constants'!$B$2</f>
        <v>0</v>
      </c>
      <c r="F11" s="12">
        <f>E11 * ('Reality Constants'!$B$3 * 2)</f>
        <v>0</v>
      </c>
      <c r="G11" s="12">
        <f>F11 / 'Reality Constants'!$B$4</f>
        <v>74.57111709</v>
      </c>
      <c r="H11" s="12">
        <f>F11 / 'Reality Constants'!$B$5</f>
        <v>0</v>
      </c>
      <c r="I11" s="13">
        <f t="array" ref="I11">IFERROR(INDEX(all_stable_isotopes_complete_no!A:E, MATCH(B11, all_stable_isotopes_complete_no!B:B, 0), 5),"")</f>
        <v>0.53</v>
      </c>
      <c r="J11" s="12">
        <f t="shared" si="1"/>
        <v>0</v>
      </c>
      <c r="K11" s="12">
        <f t="shared" si="2"/>
        <v>0</v>
      </c>
    </row>
    <row r="12" ht="22.5" customHeight="1">
      <c r="A12" s="17" t="s">
        <v>44</v>
      </c>
      <c r="B12" s="17" t="s">
        <v>481</v>
      </c>
      <c r="C12" s="18">
        <v>13.003355</v>
      </c>
      <c r="D12" s="18">
        <v>1.07</v>
      </c>
      <c r="E12" s="12">
        <f>C12*'Reality Constants'!$B$2</f>
        <v>0</v>
      </c>
      <c r="F12" s="12">
        <f>E12 * ('Reality Constants'!$B$3 * 2)</f>
        <v>0</v>
      </c>
      <c r="G12" s="12">
        <f>F12 / 'Reality Constants'!$B$4</f>
        <v>80.80622569</v>
      </c>
      <c r="H12" s="12">
        <f>F12 / 'Reality Constants'!$B$5</f>
        <v>0</v>
      </c>
      <c r="I12" s="13">
        <f t="array" ref="I12">IFERROR(INDEX(all_stable_isotopes_complete_no!A:E, MATCH(B12, all_stable_isotopes_complete_no!B:B, 0), 5),"")</f>
        <v>8000</v>
      </c>
      <c r="J12" s="12">
        <f t="shared" si="1"/>
        <v>0</v>
      </c>
      <c r="K12" s="12">
        <f t="shared" si="2"/>
        <v>0</v>
      </c>
    </row>
    <row r="13" ht="22.5" customHeight="1">
      <c r="A13" s="17" t="s">
        <v>47</v>
      </c>
      <c r="B13" s="17" t="s">
        <v>482</v>
      </c>
      <c r="C13" s="18">
        <v>14.003074</v>
      </c>
      <c r="D13" s="18">
        <v>99.632</v>
      </c>
      <c r="E13" s="12">
        <f>C13*'Reality Constants'!$B$2</f>
        <v>0</v>
      </c>
      <c r="F13" s="12">
        <f>E13 * ('Reality Constants'!$B$3 * 2)</f>
        <v>0</v>
      </c>
      <c r="G13" s="12">
        <f>F13 / 'Reality Constants'!$B$4</f>
        <v>87.01873924</v>
      </c>
      <c r="H13" s="12">
        <f>F13 / 'Reality Constants'!$B$5</f>
        <v>0</v>
      </c>
      <c r="I13" s="13">
        <f t="array" ref="I13">IFERROR(INDEX(all_stable_isotopes_complete_no!A:E, MATCH(B13, all_stable_isotopes_complete_no!B:B, 0), 5),"")</f>
        <v>0.11</v>
      </c>
      <c r="J13" s="12">
        <f t="shared" si="1"/>
        <v>0</v>
      </c>
      <c r="K13" s="12">
        <f t="shared" si="2"/>
        <v>0</v>
      </c>
    </row>
    <row r="14" ht="22.5" customHeight="1">
      <c r="A14" s="17" t="s">
        <v>47</v>
      </c>
      <c r="B14" s="17" t="s">
        <v>483</v>
      </c>
      <c r="C14" s="18">
        <v>15.000109</v>
      </c>
      <c r="D14" s="18">
        <v>0.368</v>
      </c>
      <c r="E14" s="12">
        <f>C14*'Reality Constants'!$B$2</f>
        <v>0</v>
      </c>
      <c r="F14" s="12">
        <f>E14 * ('Reality Constants'!$B$3 * 2)</f>
        <v>0</v>
      </c>
      <c r="G14" s="12">
        <f>F14 / 'Reality Constants'!$B$4</f>
        <v>93.21457372</v>
      </c>
      <c r="H14" s="12">
        <f>F14 / 'Reality Constants'!$B$5</f>
        <v>0</v>
      </c>
      <c r="I14" s="13">
        <f t="array" ref="I14">IFERROR(INDEX(all_stable_isotopes_complete_no!A:E, MATCH(B14, all_stable_isotopes_complete_no!B:B, 0), 5),"")</f>
        <v>1310</v>
      </c>
      <c r="J14" s="12">
        <f t="shared" si="1"/>
        <v>0</v>
      </c>
      <c r="K14" s="12">
        <f t="shared" si="2"/>
        <v>0</v>
      </c>
    </row>
    <row r="15" ht="22.5" customHeight="1">
      <c r="A15" s="17" t="s">
        <v>50</v>
      </c>
      <c r="B15" s="17" t="s">
        <v>484</v>
      </c>
      <c r="C15" s="18">
        <v>15.994915</v>
      </c>
      <c r="D15" s="18">
        <v>99.757</v>
      </c>
      <c r="E15" s="12">
        <f>C15*'Reality Constants'!$B$2</f>
        <v>0</v>
      </c>
      <c r="F15" s="12">
        <f>E15 * ('Reality Constants'!$B$3 * 2)</f>
        <v>0</v>
      </c>
      <c r="G15" s="12">
        <f>F15 / 'Reality Constants'!$B$4</f>
        <v>99.39655661</v>
      </c>
      <c r="H15" s="12">
        <f>F15 / 'Reality Constants'!$B$5</f>
        <v>0</v>
      </c>
      <c r="I15" s="13">
        <f t="array" ref="I15">IFERROR(INDEX(all_stable_isotopes_complete_no!A:E, MATCH(B15, all_stable_isotopes_complete_no!B:B, 0), 5),"")</f>
        <v>0.08</v>
      </c>
      <c r="J15" s="12">
        <f t="shared" si="1"/>
        <v>0</v>
      </c>
      <c r="K15" s="12">
        <f t="shared" si="2"/>
        <v>0</v>
      </c>
    </row>
    <row r="16" ht="22.5" customHeight="1">
      <c r="A16" s="17" t="s">
        <v>50</v>
      </c>
      <c r="B16" s="17" t="s">
        <v>485</v>
      </c>
      <c r="C16" s="18">
        <v>16.999131</v>
      </c>
      <c r="D16" s="18">
        <v>0.038</v>
      </c>
      <c r="E16" s="12">
        <f>C16*'Reality Constants'!$B$2</f>
        <v>0</v>
      </c>
      <c r="F16" s="12">
        <f>E16 * ('Reality Constants'!$B$3 * 2)</f>
        <v>0</v>
      </c>
      <c r="G16" s="12">
        <f>F16 / 'Reality Constants'!$B$4</f>
        <v>105.6370157</v>
      </c>
      <c r="H16" s="12">
        <f>F16 / 'Reality Constants'!$B$5</f>
        <v>0</v>
      </c>
      <c r="I16" s="13">
        <f t="array" ref="I16">IFERROR(INDEX(all_stable_isotopes_complete_no!A:E, MATCH(B16, all_stable_isotopes_complete_no!B:B, 0), 5),"")</f>
        <v>5000</v>
      </c>
      <c r="J16" s="12">
        <f t="shared" si="1"/>
        <v>0</v>
      </c>
      <c r="K16" s="12">
        <f t="shared" si="2"/>
        <v>0</v>
      </c>
    </row>
    <row r="17" ht="22.5" customHeight="1">
      <c r="A17" s="17" t="s">
        <v>50</v>
      </c>
      <c r="B17" s="17" t="s">
        <v>486</v>
      </c>
      <c r="C17" s="18">
        <v>17.999159</v>
      </c>
      <c r="D17" s="18">
        <v>0.205</v>
      </c>
      <c r="E17" s="12">
        <f>C17*'Reality Constants'!$B$2</f>
        <v>0</v>
      </c>
      <c r="F17" s="12">
        <f>E17 * ('Reality Constants'!$B$3 * 2)</f>
        <v>0</v>
      </c>
      <c r="G17" s="12">
        <f>F17 / 'Reality Constants'!$B$4</f>
        <v>111.8514494</v>
      </c>
      <c r="H17" s="12">
        <f>F17 / 'Reality Constants'!$B$5</f>
        <v>0</v>
      </c>
      <c r="I17" s="13">
        <f t="array" ref="I17">IFERROR(INDEX(all_stable_isotopes_complete_no!A:E, MATCH(B17, all_stable_isotopes_complete_no!B:B, 0), 5),"")</f>
        <v>12000</v>
      </c>
      <c r="J17" s="12">
        <f t="shared" si="1"/>
        <v>0</v>
      </c>
      <c r="K17" s="12">
        <f t="shared" si="2"/>
        <v>0</v>
      </c>
    </row>
    <row r="18" ht="22.5" customHeight="1">
      <c r="A18" s="17" t="s">
        <v>54</v>
      </c>
      <c r="B18" s="17" t="s">
        <v>487</v>
      </c>
      <c r="C18" s="18">
        <v>18.998403</v>
      </c>
      <c r="D18" s="18">
        <v>100.0</v>
      </c>
      <c r="E18" s="12">
        <f>C18*'Reality Constants'!$B$2</f>
        <v>0</v>
      </c>
      <c r="F18" s="12">
        <f>E18 * ('Reality Constants'!$B$3 * 2)</f>
        <v>0</v>
      </c>
      <c r="G18" s="12">
        <f>F18 / 'Reality Constants'!$B$4</f>
        <v>118.0610112</v>
      </c>
      <c r="H18" s="12">
        <f>F18 / 'Reality Constants'!$B$5</f>
        <v>0</v>
      </c>
      <c r="I18" s="13">
        <f t="array" ref="I18">IFERROR(INDEX(all_stable_isotopes_complete_no!A:E, MATCH(B18, all_stable_isotopes_complete_no!B:B, 0), 5),"")</f>
        <v>15</v>
      </c>
      <c r="J18" s="12">
        <f t="shared" si="1"/>
        <v>0</v>
      </c>
      <c r="K18" s="12">
        <f t="shared" si="2"/>
        <v>0</v>
      </c>
    </row>
    <row r="19" ht="22.5" customHeight="1">
      <c r="A19" s="17" t="s">
        <v>56</v>
      </c>
      <c r="B19" s="17" t="s">
        <v>488</v>
      </c>
      <c r="C19" s="18">
        <v>19.992439</v>
      </c>
      <c r="D19" s="18">
        <v>90.48</v>
      </c>
      <c r="E19" s="12">
        <f>C19*'Reality Constants'!$B$2</f>
        <v>0</v>
      </c>
      <c r="F19" s="12">
        <f>E19 * ('Reality Constants'!$B$3 * 2)</f>
        <v>0</v>
      </c>
      <c r="G19" s="12">
        <f>F19 / 'Reality Constants'!$B$4</f>
        <v>124.2382091</v>
      </c>
      <c r="H19" s="12">
        <f>F19 / 'Reality Constants'!$B$5</f>
        <v>0</v>
      </c>
      <c r="I19" s="13">
        <f t="array" ref="I19">IFERROR(INDEX(all_stable_isotopes_complete_no!A:E, MATCH(B19, all_stable_isotopes_complete_no!B:B, 0), 5),"")</f>
        <v>2</v>
      </c>
      <c r="J19" s="12">
        <f t="shared" si="1"/>
        <v>0</v>
      </c>
      <c r="K19" s="12">
        <f t="shared" si="2"/>
        <v>0</v>
      </c>
    </row>
    <row r="20" ht="22.5" customHeight="1">
      <c r="A20" s="17" t="s">
        <v>56</v>
      </c>
      <c r="B20" s="17" t="s">
        <v>489</v>
      </c>
      <c r="C20" s="18">
        <v>20.993845</v>
      </c>
      <c r="D20" s="18">
        <v>0.27</v>
      </c>
      <c r="E20" s="12">
        <f>C20*'Reality Constants'!$B$2</f>
        <v>0</v>
      </c>
      <c r="F20" s="12">
        <f>E20 * ('Reality Constants'!$B$3 * 2)</f>
        <v>0</v>
      </c>
      <c r="G20" s="12">
        <f>F20 / 'Reality Constants'!$B$4</f>
        <v>130.4612061</v>
      </c>
      <c r="H20" s="12">
        <f>F20 / 'Reality Constants'!$B$5</f>
        <v>0</v>
      </c>
      <c r="I20" s="13">
        <f t="array" ref="I20">IFERROR(INDEX(all_stable_isotopes_complete_no!A:E, MATCH(B20, all_stable_isotopes_complete_no!B:B, 0), 5),"")</f>
        <v>15000</v>
      </c>
      <c r="J20" s="12">
        <f t="shared" si="1"/>
        <v>0</v>
      </c>
      <c r="K20" s="12">
        <f t="shared" si="2"/>
        <v>0</v>
      </c>
    </row>
    <row r="21" ht="22.5" customHeight="1">
      <c r="A21" s="17" t="s">
        <v>56</v>
      </c>
      <c r="B21" s="17" t="s">
        <v>490</v>
      </c>
      <c r="C21" s="18">
        <v>21.991384</v>
      </c>
      <c r="D21" s="18">
        <v>9.25</v>
      </c>
      <c r="E21" s="12">
        <f>C21*'Reality Constants'!$B$2</f>
        <v>0</v>
      </c>
      <c r="F21" s="12">
        <f>E21 * ('Reality Constants'!$B$3 * 2)</f>
        <v>0</v>
      </c>
      <c r="G21" s="12">
        <f>F21 / 'Reality Constants'!$B$4</f>
        <v>136.6601726</v>
      </c>
      <c r="H21" s="12">
        <f>F21 / 'Reality Constants'!$B$5</f>
        <v>0</v>
      </c>
      <c r="I21" s="13">
        <f t="array" ref="I21">IFERROR(INDEX(all_stable_isotopes_complete_no!A:E, MATCH(B21, all_stable_isotopes_complete_no!B:B, 0), 5),"")</f>
        <v>3500</v>
      </c>
      <c r="J21" s="12">
        <f t="shared" si="1"/>
        <v>0</v>
      </c>
      <c r="K21" s="12">
        <f t="shared" si="2"/>
        <v>0</v>
      </c>
    </row>
    <row r="22" ht="22.5" customHeight="1">
      <c r="A22" s="17" t="s">
        <v>60</v>
      </c>
      <c r="B22" s="17" t="s">
        <v>491</v>
      </c>
      <c r="C22" s="18">
        <v>22.98977</v>
      </c>
      <c r="D22" s="18">
        <v>100.0</v>
      </c>
      <c r="E22" s="12">
        <f>C22*'Reality Constants'!$B$2</f>
        <v>0</v>
      </c>
      <c r="F22" s="12">
        <f>E22 * ('Reality Constants'!$B$3 * 2)</f>
        <v>0</v>
      </c>
      <c r="G22" s="12">
        <f>F22 / 'Reality Constants'!$B$4</f>
        <v>142.8644026</v>
      </c>
      <c r="H22" s="12">
        <f>F22 / 'Reality Constants'!$B$5</f>
        <v>0</v>
      </c>
      <c r="I22" s="13">
        <f t="array" ref="I22">IFERROR(INDEX(all_stable_isotopes_complete_no!A:E, MATCH(B22, all_stable_isotopes_complete_no!B:B, 0), 5),"")</f>
        <v>1.5</v>
      </c>
      <c r="J22" s="12">
        <f t="shared" si="1"/>
        <v>0</v>
      </c>
      <c r="K22" s="12">
        <f t="shared" si="2"/>
        <v>0</v>
      </c>
    </row>
    <row r="23" ht="22.5" customHeight="1">
      <c r="A23" s="17" t="s">
        <v>62</v>
      </c>
      <c r="B23" s="17" t="s">
        <v>492</v>
      </c>
      <c r="C23" s="18">
        <v>23.985045</v>
      </c>
      <c r="D23" s="18">
        <v>78.99</v>
      </c>
      <c r="E23" s="12">
        <f>C23*'Reality Constants'!$B$2</f>
        <v>0</v>
      </c>
      <c r="F23" s="12">
        <f>E23 * ('Reality Constants'!$B$3 * 2)</f>
        <v>0</v>
      </c>
      <c r="G23" s="12">
        <f>F23 / 'Reality Constants'!$B$4</f>
        <v>149.0492999</v>
      </c>
      <c r="H23" s="12">
        <f>F23 / 'Reality Constants'!$B$5</f>
        <v>0</v>
      </c>
      <c r="I23" s="13">
        <f t="array" ref="I23">IFERROR(INDEX(all_stable_isotopes_complete_no!A:E, MATCH(B23, all_stable_isotopes_complete_no!B:B, 0), 5),"")</f>
        <v>2.5</v>
      </c>
      <c r="J23" s="12">
        <f t="shared" si="1"/>
        <v>0</v>
      </c>
      <c r="K23" s="12">
        <f t="shared" si="2"/>
        <v>0</v>
      </c>
    </row>
    <row r="24" ht="22.5" customHeight="1">
      <c r="A24" s="17" t="s">
        <v>62</v>
      </c>
      <c r="B24" s="17" t="s">
        <v>493</v>
      </c>
      <c r="C24" s="18">
        <v>24.985837</v>
      </c>
      <c r="D24" s="18">
        <v>10.0</v>
      </c>
      <c r="E24" s="12">
        <f>C24*'Reality Constants'!$B$2</f>
        <v>0</v>
      </c>
      <c r="F24" s="12">
        <f>E24 * ('Reality Constants'!$B$3 * 2)</f>
        <v>0</v>
      </c>
      <c r="G24" s="12">
        <f>F24 / 'Reality Constants'!$B$4</f>
        <v>155.2684814</v>
      </c>
      <c r="H24" s="12">
        <f>F24 / 'Reality Constants'!$B$5</f>
        <v>0</v>
      </c>
      <c r="I24" s="13">
        <f t="array" ref="I24">IFERROR(INDEX(all_stable_isotopes_complete_no!A:E, MATCH(B24, all_stable_isotopes_complete_no!B:B, 0), 5),"")</f>
        <v>2500</v>
      </c>
      <c r="J24" s="12">
        <f t="shared" si="1"/>
        <v>0</v>
      </c>
      <c r="K24" s="12">
        <f t="shared" si="2"/>
        <v>0</v>
      </c>
    </row>
    <row r="25" ht="22.5" customHeight="1">
      <c r="A25" s="17" t="s">
        <v>62</v>
      </c>
      <c r="B25" s="17" t="s">
        <v>494</v>
      </c>
      <c r="C25" s="18">
        <v>25.982593</v>
      </c>
      <c r="D25" s="18">
        <v>11.01</v>
      </c>
      <c r="E25" s="12">
        <f>C25*'Reality Constants'!$B$2</f>
        <v>0</v>
      </c>
      <c r="F25" s="12">
        <f>E25 * ('Reality Constants'!$B$3 * 2)</f>
        <v>0</v>
      </c>
      <c r="G25" s="12">
        <f>F25 / 'Reality Constants'!$B$4</f>
        <v>161.4625821</v>
      </c>
      <c r="H25" s="12">
        <f>F25 / 'Reality Constants'!$B$5</f>
        <v>0</v>
      </c>
      <c r="I25" s="13">
        <f t="array" ref="I25">IFERROR(INDEX(all_stable_isotopes_complete_no!A:E, MATCH(B25, all_stable_isotopes_complete_no!B:B, 0), 5),"")</f>
        <v>2800</v>
      </c>
      <c r="J25" s="12">
        <f t="shared" si="1"/>
        <v>0</v>
      </c>
      <c r="K25" s="12">
        <f t="shared" si="2"/>
        <v>0</v>
      </c>
    </row>
    <row r="26" ht="22.5" customHeight="1">
      <c r="A26" s="17" t="s">
        <v>66</v>
      </c>
      <c r="B26" s="17" t="s">
        <v>495</v>
      </c>
      <c r="C26" s="18">
        <v>26.981541</v>
      </c>
      <c r="D26" s="18">
        <v>100.0</v>
      </c>
      <c r="E26" s="12">
        <f>C26*'Reality Constants'!$B$2</f>
        <v>0</v>
      </c>
      <c r="F26" s="12">
        <f>E26 * ('Reality Constants'!$B$3 * 2)</f>
        <v>0</v>
      </c>
      <c r="G26" s="12">
        <f>F26 / 'Reality Constants'!$B$4</f>
        <v>167.6703044</v>
      </c>
      <c r="H26" s="12">
        <f>F26 / 'Reality Constants'!$B$5</f>
        <v>0</v>
      </c>
      <c r="I26" s="13">
        <f t="array" ref="I26">IFERROR(INDEX(all_stable_isotopes_complete_no!A:E, MATCH(B26, all_stable_isotopes_complete_no!B:B, 0), 5),"")</f>
        <v>2.83</v>
      </c>
      <c r="J26" s="12">
        <f t="shared" si="1"/>
        <v>0</v>
      </c>
      <c r="K26" s="12">
        <f t="shared" si="2"/>
        <v>0</v>
      </c>
    </row>
    <row r="27" ht="22.5" customHeight="1">
      <c r="A27" s="17" t="s">
        <v>68</v>
      </c>
      <c r="B27" s="17" t="s">
        <v>496</v>
      </c>
      <c r="C27" s="18">
        <v>27.976927</v>
      </c>
      <c r="D27" s="18">
        <v>92.23</v>
      </c>
      <c r="E27" s="12">
        <f>C27*'Reality Constants'!$B$2</f>
        <v>0</v>
      </c>
      <c r="F27" s="12">
        <f>E27 * ('Reality Constants'!$B$3 * 2)</f>
        <v>0</v>
      </c>
      <c r="G27" s="12">
        <f>F27 / 'Reality Constants'!$B$4</f>
        <v>173.8558916</v>
      </c>
      <c r="H27" s="12">
        <f>F27 / 'Reality Constants'!$B$5</f>
        <v>0</v>
      </c>
      <c r="I27" s="13">
        <f t="array" ref="I27">IFERROR(INDEX(all_stable_isotopes_complete_no!A:E, MATCH(B27, all_stable_isotopes_complete_no!B:B, 0), 5),"")</f>
        <v>1.2</v>
      </c>
      <c r="J27" s="12">
        <f t="shared" si="1"/>
        <v>0</v>
      </c>
      <c r="K27" s="12">
        <f t="shared" si="2"/>
        <v>0</v>
      </c>
    </row>
    <row r="28" ht="22.5" customHeight="1">
      <c r="A28" s="17" t="s">
        <v>68</v>
      </c>
      <c r="B28" s="17" t="s">
        <v>497</v>
      </c>
      <c r="C28" s="18">
        <v>28.976495</v>
      </c>
      <c r="D28" s="18">
        <v>4.68</v>
      </c>
      <c r="E28" s="12">
        <f>C28*'Reality Constants'!$B$2</f>
        <v>0</v>
      </c>
      <c r="F28" s="12">
        <f>E28 * ('Reality Constants'!$B$3 * 2)</f>
        <v>0</v>
      </c>
      <c r="G28" s="12">
        <f>F28 / 'Reality Constants'!$B$4</f>
        <v>180.0674668</v>
      </c>
      <c r="H28" s="12">
        <f>F28 / 'Reality Constants'!$B$5</f>
        <v>0</v>
      </c>
      <c r="I28" s="13">
        <f t="array" ref="I28">IFERROR(INDEX(all_stable_isotopes_complete_no!A:E, MATCH(B28, all_stable_isotopes_complete_no!B:B, 0), 5),"")</f>
        <v>1800</v>
      </c>
      <c r="J28" s="12">
        <f t="shared" si="1"/>
        <v>0</v>
      </c>
      <c r="K28" s="12">
        <f t="shared" si="2"/>
        <v>0</v>
      </c>
    </row>
    <row r="29" ht="22.5" customHeight="1">
      <c r="A29" s="17" t="s">
        <v>68</v>
      </c>
      <c r="B29" s="17" t="s">
        <v>498</v>
      </c>
      <c r="C29" s="18">
        <v>29.97377</v>
      </c>
      <c r="D29" s="18">
        <v>3.09</v>
      </c>
      <c r="E29" s="12">
        <f>C29*'Reality Constants'!$B$2</f>
        <v>0</v>
      </c>
      <c r="F29" s="12">
        <f>E29 * ('Reality Constants'!$B$3 * 2)</f>
        <v>0</v>
      </c>
      <c r="G29" s="12">
        <f>F29 / 'Reality Constants'!$B$4</f>
        <v>186.2647927</v>
      </c>
      <c r="H29" s="12">
        <f>F29 / 'Reality Constants'!$B$5</f>
        <v>0</v>
      </c>
      <c r="I29" s="13">
        <f t="array" ref="I29">IFERROR(INDEX(all_stable_isotopes_complete_no!A:E, MATCH(B29, all_stable_isotopes_complete_no!B:B, 0), 5),"")</f>
        <v>2200</v>
      </c>
      <c r="J29" s="12">
        <f t="shared" si="1"/>
        <v>0</v>
      </c>
      <c r="K29" s="12">
        <f t="shared" si="2"/>
        <v>0</v>
      </c>
    </row>
    <row r="30" ht="22.5" customHeight="1">
      <c r="A30" s="17" t="s">
        <v>72</v>
      </c>
      <c r="B30" s="17" t="s">
        <v>499</v>
      </c>
      <c r="C30" s="18">
        <v>30.973762</v>
      </c>
      <c r="D30" s="18">
        <v>100.0</v>
      </c>
      <c r="E30" s="12">
        <f>C30*'Reality Constants'!$B$2</f>
        <v>0</v>
      </c>
      <c r="F30" s="12">
        <f>E30 * ('Reality Constants'!$B$3 * 2)</f>
        <v>0</v>
      </c>
      <c r="G30" s="12">
        <f>F30 / 'Reality Constants'!$B$4</f>
        <v>192.4790027</v>
      </c>
      <c r="H30" s="12">
        <f>F30 / 'Reality Constants'!$B$5</f>
        <v>0</v>
      </c>
      <c r="I30" s="13">
        <f t="array" ref="I30">IFERROR(INDEX(all_stable_isotopes_complete_no!A:E, MATCH(B30, all_stable_isotopes_complete_no!B:B, 0), 5),"")</f>
        <v>2.8</v>
      </c>
      <c r="J30" s="12">
        <f t="shared" si="1"/>
        <v>0</v>
      </c>
      <c r="K30" s="12">
        <f t="shared" si="2"/>
        <v>0</v>
      </c>
    </row>
    <row r="31" ht="22.5" customHeight="1">
      <c r="A31" s="17" t="s">
        <v>74</v>
      </c>
      <c r="B31" s="17" t="s">
        <v>500</v>
      </c>
      <c r="C31" s="18">
        <v>31.972071</v>
      </c>
      <c r="D31" s="18">
        <v>94.99</v>
      </c>
      <c r="E31" s="12">
        <f>C31*'Reality Constants'!$B$2</f>
        <v>0</v>
      </c>
      <c r="F31" s="12">
        <f>E31 * ('Reality Constants'!$B$3 * 2)</f>
        <v>0</v>
      </c>
      <c r="G31" s="12">
        <f>F31 / 'Reality Constants'!$B$4</f>
        <v>198.6827542</v>
      </c>
      <c r="H31" s="12">
        <f>F31 / 'Reality Constants'!$B$5</f>
        <v>0</v>
      </c>
      <c r="I31" s="13">
        <f t="array" ref="I31">IFERROR(INDEX(all_stable_isotopes_complete_no!A:E, MATCH(B31, all_stable_isotopes_complete_no!B:B, 0), 5),"")</f>
        <v>0.15</v>
      </c>
      <c r="J31" s="12">
        <f t="shared" si="1"/>
        <v>0</v>
      </c>
      <c r="K31" s="12">
        <f t="shared" si="2"/>
        <v>0</v>
      </c>
    </row>
    <row r="32" ht="22.5" customHeight="1">
      <c r="A32" s="17" t="s">
        <v>74</v>
      </c>
      <c r="B32" s="17" t="s">
        <v>501</v>
      </c>
      <c r="C32" s="18">
        <v>32.971459</v>
      </c>
      <c r="D32" s="18">
        <v>0.75</v>
      </c>
      <c r="E32" s="12">
        <f>C32*'Reality Constants'!$B$2</f>
        <v>0</v>
      </c>
      <c r="F32" s="12">
        <f>E32 * ('Reality Constants'!$B$3 * 2)</f>
        <v>0</v>
      </c>
      <c r="G32" s="12">
        <f>F32 / 'Reality Constants'!$B$4</f>
        <v>204.8932108</v>
      </c>
      <c r="H32" s="12">
        <f>F32 / 'Reality Constants'!$B$5</f>
        <v>0</v>
      </c>
      <c r="I32" s="13">
        <f t="array" ref="I32">IFERROR(INDEX(all_stable_isotopes_complete_no!A:E, MATCH(B32, all_stable_isotopes_complete_no!B:B, 0), 5),"")</f>
        <v>500</v>
      </c>
      <c r="J32" s="12">
        <f t="shared" si="1"/>
        <v>0</v>
      </c>
      <c r="K32" s="12">
        <f t="shared" si="2"/>
        <v>0</v>
      </c>
    </row>
    <row r="33" ht="22.5" customHeight="1">
      <c r="A33" s="17" t="s">
        <v>74</v>
      </c>
      <c r="B33" s="17" t="s">
        <v>502</v>
      </c>
      <c r="C33" s="18">
        <v>33.967867</v>
      </c>
      <c r="D33" s="18">
        <v>4.25</v>
      </c>
      <c r="E33" s="12">
        <f>C33*'Reality Constants'!$B$2</f>
        <v>0</v>
      </c>
      <c r="F33" s="12">
        <f>E33 * ('Reality Constants'!$B$3 * 2)</f>
        <v>0</v>
      </c>
      <c r="G33" s="12">
        <f>F33 / 'Reality Constants'!$B$4</f>
        <v>211.085149</v>
      </c>
      <c r="H33" s="12">
        <f>F33 / 'Reality Constants'!$B$5</f>
        <v>0</v>
      </c>
      <c r="I33" s="13">
        <f t="array" ref="I33">IFERROR(INDEX(all_stable_isotopes_complete_no!A:E, MATCH(B33, all_stable_isotopes_complete_no!B:B, 0), 5),"")</f>
        <v>800</v>
      </c>
      <c r="J33" s="12">
        <f t="shared" si="1"/>
        <v>0</v>
      </c>
      <c r="K33" s="12">
        <f t="shared" si="2"/>
        <v>0</v>
      </c>
    </row>
    <row r="34" ht="22.5" customHeight="1">
      <c r="A34" s="17" t="s">
        <v>74</v>
      </c>
      <c r="B34" s="17" t="s">
        <v>503</v>
      </c>
      <c r="C34" s="18">
        <v>35.967081</v>
      </c>
      <c r="D34" s="18">
        <v>0.01</v>
      </c>
      <c r="E34" s="12">
        <f>C34*'Reality Constants'!$B$2</f>
        <v>0</v>
      </c>
      <c r="F34" s="12">
        <f>E34 * ('Reality Constants'!$B$3 * 2)</f>
        <v>0</v>
      </c>
      <c r="G34" s="12">
        <f>F34 / 'Reality Constants'!$B$4</f>
        <v>223.5087841</v>
      </c>
      <c r="H34" s="12">
        <f>F34 / 'Reality Constants'!$B$5</f>
        <v>0</v>
      </c>
      <c r="I34" s="13">
        <f t="array" ref="I34">IFERROR(INDEX(all_stable_isotopes_complete_no!A:E, MATCH(B34, all_stable_isotopes_complete_no!B:B, 0), 5),"")</f>
        <v>3000</v>
      </c>
      <c r="J34" s="12">
        <f t="shared" si="1"/>
        <v>0</v>
      </c>
      <c r="K34" s="12">
        <f t="shared" si="2"/>
        <v>0</v>
      </c>
    </row>
    <row r="35" ht="22.5" customHeight="1">
      <c r="A35" s="17" t="s">
        <v>78</v>
      </c>
      <c r="B35" s="17" t="s">
        <v>504</v>
      </c>
      <c r="C35" s="18">
        <v>34.968853</v>
      </c>
      <c r="D35" s="18">
        <v>75.76</v>
      </c>
      <c r="E35" s="12">
        <f>C35*'Reality Constants'!$B$2</f>
        <v>0</v>
      </c>
      <c r="F35" s="12">
        <f>E35 * ('Reality Constants'!$B$3 * 2)</f>
        <v>0</v>
      </c>
      <c r="G35" s="12">
        <f>F35 / 'Reality Constants'!$B$4</f>
        <v>217.305536</v>
      </c>
      <c r="H35" s="12">
        <f>F35 / 'Reality Constants'!$B$5</f>
        <v>0</v>
      </c>
      <c r="I35" s="13">
        <f t="array" ref="I35">IFERROR(INDEX(all_stable_isotopes_complete_no!A:E, MATCH(B35, all_stable_isotopes_complete_no!B:B, 0), 5),"")</f>
        <v>0.25</v>
      </c>
      <c r="J35" s="12">
        <f t="shared" si="1"/>
        <v>0</v>
      </c>
      <c r="K35" s="12">
        <f t="shared" si="2"/>
        <v>0</v>
      </c>
    </row>
    <row r="36" ht="22.5" customHeight="1">
      <c r="A36" s="17" t="s">
        <v>78</v>
      </c>
      <c r="B36" s="17" t="s">
        <v>505</v>
      </c>
      <c r="C36" s="18">
        <v>36.965903</v>
      </c>
      <c r="D36" s="18">
        <v>24.24</v>
      </c>
      <c r="E36" s="12">
        <f>C36*'Reality Constants'!$B$2</f>
        <v>0</v>
      </c>
      <c r="F36" s="12">
        <f>E36 * ('Reality Constants'!$B$3 * 2)</f>
        <v>0</v>
      </c>
      <c r="G36" s="12">
        <f>F36 / 'Reality Constants'!$B$4</f>
        <v>229.7157234</v>
      </c>
      <c r="H36" s="12">
        <f>F36 / 'Reality Constants'!$B$5</f>
        <v>0</v>
      </c>
      <c r="I36" s="13">
        <f t="array" ref="I36">IFERROR(INDEX(all_stable_isotopes_complete_no!A:E, MATCH(B36, all_stable_isotopes_complete_no!B:B, 0), 5),"")</f>
        <v>0.35</v>
      </c>
      <c r="J36" s="12">
        <f t="shared" si="1"/>
        <v>0</v>
      </c>
      <c r="K36" s="12">
        <f t="shared" si="2"/>
        <v>0</v>
      </c>
    </row>
    <row r="37" ht="22.5" customHeight="1">
      <c r="A37" s="17" t="s">
        <v>81</v>
      </c>
      <c r="B37" s="17" t="s">
        <v>506</v>
      </c>
      <c r="C37" s="18">
        <v>35.967546</v>
      </c>
      <c r="D37" s="18">
        <v>0.334</v>
      </c>
      <c r="E37" s="12">
        <f>C37*'Reality Constants'!$B$2</f>
        <v>0</v>
      </c>
      <c r="F37" s="12">
        <f>E37 * ('Reality Constants'!$B$3 * 2)</f>
        <v>0</v>
      </c>
      <c r="G37" s="12">
        <f>F37 / 'Reality Constants'!$B$4</f>
        <v>223.5116737</v>
      </c>
      <c r="H37" s="12">
        <f>F37 / 'Reality Constants'!$B$5</f>
        <v>0</v>
      </c>
      <c r="I37" s="13">
        <f t="array" ref="I37">IFERROR(INDEX(all_stable_isotopes_complete_no!A:E, MATCH(B37, all_stable_isotopes_complete_no!B:B, 0), 5),"")</f>
        <v>150</v>
      </c>
      <c r="J37" s="12">
        <f t="shared" si="1"/>
        <v>0</v>
      </c>
      <c r="K37" s="12">
        <f t="shared" si="2"/>
        <v>0</v>
      </c>
    </row>
    <row r="38" ht="22.5" customHeight="1">
      <c r="A38" s="17" t="s">
        <v>81</v>
      </c>
      <c r="B38" s="17" t="s">
        <v>507</v>
      </c>
      <c r="C38" s="18">
        <v>37.962732</v>
      </c>
      <c r="D38" s="18">
        <v>0.063</v>
      </c>
      <c r="E38" s="12">
        <f>C38*'Reality Constants'!$B$2</f>
        <v>0</v>
      </c>
      <c r="F38" s="12">
        <f>E38 * ('Reality Constants'!$B$3 * 2)</f>
        <v>0</v>
      </c>
      <c r="G38" s="12">
        <f>F38 / 'Reality Constants'!$B$4</f>
        <v>235.9102778</v>
      </c>
      <c r="H38" s="12">
        <f>F38 / 'Reality Constants'!$B$5</f>
        <v>0</v>
      </c>
      <c r="I38" s="13">
        <f t="array" ref="I38">IFERROR(INDEX(all_stable_isotopes_complete_no!A:E, MATCH(B38, all_stable_isotopes_complete_no!B:B, 0), 5),"")</f>
        <v>800</v>
      </c>
      <c r="J38" s="12">
        <f t="shared" si="1"/>
        <v>0</v>
      </c>
      <c r="K38" s="12">
        <f t="shared" si="2"/>
        <v>0</v>
      </c>
    </row>
    <row r="39" ht="22.5" customHeight="1">
      <c r="A39" s="17" t="s">
        <v>81</v>
      </c>
      <c r="B39" s="17" t="s">
        <v>508</v>
      </c>
      <c r="C39" s="18">
        <v>39.962383</v>
      </c>
      <c r="D39" s="18">
        <v>99.603</v>
      </c>
      <c r="E39" s="12">
        <f>C39*'Reality Constants'!$B$2</f>
        <v>0</v>
      </c>
      <c r="F39" s="12">
        <f>E39 * ('Reality Constants'!$B$3 * 2)</f>
        <v>0</v>
      </c>
      <c r="G39" s="12">
        <f>F39 / 'Reality Constants'!$B$4</f>
        <v>248.3366285</v>
      </c>
      <c r="H39" s="12">
        <f>F39 / 'Reality Constants'!$B$5</f>
        <v>0</v>
      </c>
      <c r="I39" s="13">
        <f t="array" ref="I39">IFERROR(INDEX(all_stable_isotopes_complete_no!A:E, MATCH(B39, all_stable_isotopes_complete_no!B:B, 0), 5),"")</f>
        <v>1.5</v>
      </c>
      <c r="J39" s="12">
        <f t="shared" si="1"/>
        <v>0</v>
      </c>
      <c r="K39" s="12">
        <f t="shared" si="2"/>
        <v>0</v>
      </c>
    </row>
    <row r="40" ht="22.5" customHeight="1">
      <c r="A40" s="17" t="s">
        <v>85</v>
      </c>
      <c r="B40" s="17" t="s">
        <v>509</v>
      </c>
      <c r="C40" s="18">
        <v>38.963707</v>
      </c>
      <c r="D40" s="18">
        <v>93.26</v>
      </c>
      <c r="E40" s="12">
        <f>C40*'Reality Constants'!$B$2</f>
        <v>0</v>
      </c>
      <c r="F40" s="12">
        <f>E40 * ('Reality Constants'!$B$3 * 2)</f>
        <v>0</v>
      </c>
      <c r="G40" s="12">
        <f>F40 / 'Reality Constants'!$B$4</f>
        <v>242.1305964</v>
      </c>
      <c r="H40" s="12">
        <f>F40 / 'Reality Constants'!$B$5</f>
        <v>0</v>
      </c>
      <c r="I40" s="13">
        <f t="array" ref="I40">IFERROR(INDEX(all_stable_isotopes_complete_no!A:E, MATCH(B40, all_stable_isotopes_complete_no!B:B, 0), 5),"")</f>
        <v>2.5</v>
      </c>
      <c r="J40" s="12">
        <f t="shared" si="1"/>
        <v>0</v>
      </c>
      <c r="K40" s="12">
        <f t="shared" si="2"/>
        <v>0</v>
      </c>
    </row>
    <row r="41" ht="22.5" customHeight="1">
      <c r="A41" s="17" t="s">
        <v>85</v>
      </c>
      <c r="B41" s="17" t="s">
        <v>510</v>
      </c>
      <c r="C41" s="18">
        <v>40.961826</v>
      </c>
      <c r="D41" s="18">
        <v>6.73</v>
      </c>
      <c r="E41" s="12">
        <f>C41*'Reality Constants'!$B$2</f>
        <v>0</v>
      </c>
      <c r="F41" s="12">
        <f>E41 * ('Reality Constants'!$B$3 * 2)</f>
        <v>0</v>
      </c>
      <c r="G41" s="12">
        <f>F41 / 'Reality Constants'!$B$4</f>
        <v>254.5474269</v>
      </c>
      <c r="H41" s="12">
        <f>F41 / 'Reality Constants'!$B$5</f>
        <v>0</v>
      </c>
      <c r="I41" s="13">
        <f t="array" ref="I41">IFERROR(INDEX(all_stable_isotopes_complete_no!A:E, MATCH(B41, all_stable_isotopes_complete_no!B:B, 0), 5),"")</f>
        <v>3</v>
      </c>
      <c r="J41" s="12">
        <f t="shared" si="1"/>
        <v>0</v>
      </c>
      <c r="K41" s="12">
        <f t="shared" si="2"/>
        <v>0</v>
      </c>
    </row>
    <row r="42" ht="22.5" customHeight="1">
      <c r="A42" s="17" t="s">
        <v>88</v>
      </c>
      <c r="B42" s="17" t="s">
        <v>511</v>
      </c>
      <c r="C42" s="18">
        <v>39.962591</v>
      </c>
      <c r="D42" s="18">
        <v>96.941</v>
      </c>
      <c r="E42" s="12">
        <f>C42*'Reality Constants'!$B$2</f>
        <v>0</v>
      </c>
      <c r="F42" s="12">
        <f>E42 * ('Reality Constants'!$B$3 * 2)</f>
        <v>0</v>
      </c>
      <c r="G42" s="12">
        <f>F42 / 'Reality Constants'!$B$4</f>
        <v>248.3379211</v>
      </c>
      <c r="H42" s="12">
        <f>F42 / 'Reality Constants'!$B$5</f>
        <v>0</v>
      </c>
      <c r="I42" s="13">
        <f t="array" ref="I42">IFERROR(INDEX(all_stable_isotopes_complete_no!A:E, MATCH(B42, all_stable_isotopes_complete_no!B:B, 0), 5),"")</f>
        <v>1.8</v>
      </c>
      <c r="J42" s="12">
        <f t="shared" si="1"/>
        <v>0</v>
      </c>
      <c r="K42" s="12">
        <f t="shared" si="2"/>
        <v>0</v>
      </c>
    </row>
    <row r="43" ht="22.5" customHeight="1">
      <c r="A43" s="17" t="s">
        <v>88</v>
      </c>
      <c r="B43" s="17" t="s">
        <v>512</v>
      </c>
      <c r="C43" s="18">
        <v>41.958622</v>
      </c>
      <c r="D43" s="18">
        <v>0.647</v>
      </c>
      <c r="E43" s="12">
        <f>C43*'Reality Constants'!$B$2</f>
        <v>0</v>
      </c>
      <c r="F43" s="12">
        <f>E43 * ('Reality Constants'!$B$3 * 2)</f>
        <v>0</v>
      </c>
      <c r="G43" s="12">
        <f>F43 / 'Reality Constants'!$B$4</f>
        <v>260.7417762</v>
      </c>
      <c r="H43" s="12">
        <f>F43 / 'Reality Constants'!$B$5</f>
        <v>0</v>
      </c>
      <c r="I43" s="13">
        <f t="array" ref="I43">IFERROR(INDEX(all_stable_isotopes_complete_no!A:E, MATCH(B43, all_stable_isotopes_complete_no!B:B, 0), 5),"")</f>
        <v>500</v>
      </c>
      <c r="J43" s="12">
        <f t="shared" si="1"/>
        <v>0</v>
      </c>
      <c r="K43" s="12">
        <f t="shared" si="2"/>
        <v>0</v>
      </c>
    </row>
    <row r="44" ht="22.5" customHeight="1">
      <c r="A44" s="17" t="s">
        <v>88</v>
      </c>
      <c r="B44" s="17" t="s">
        <v>513</v>
      </c>
      <c r="C44" s="18">
        <v>42.958766</v>
      </c>
      <c r="D44" s="18">
        <v>0.135</v>
      </c>
      <c r="E44" s="12">
        <f>C44*'Reality Constants'!$B$2</f>
        <v>0</v>
      </c>
      <c r="F44" s="12">
        <f>E44 * ('Reality Constants'!$B$3 * 2)</f>
        <v>0</v>
      </c>
      <c r="G44" s="12">
        <f>F44 / 'Reality Constants'!$B$4</f>
        <v>266.9569308</v>
      </c>
      <c r="H44" s="12">
        <f>F44 / 'Reality Constants'!$B$5</f>
        <v>0</v>
      </c>
      <c r="I44" s="13">
        <f t="array" ref="I44">IFERROR(INDEX(all_stable_isotopes_complete_no!A:E, MATCH(B44, all_stable_isotopes_complete_no!B:B, 0), 5),"")</f>
        <v>800</v>
      </c>
      <c r="J44" s="12">
        <f t="shared" si="1"/>
        <v>0</v>
      </c>
      <c r="K44" s="12">
        <f t="shared" si="2"/>
        <v>0</v>
      </c>
    </row>
    <row r="45" ht="22.5" customHeight="1">
      <c r="A45" s="17" t="s">
        <v>88</v>
      </c>
      <c r="B45" s="17" t="s">
        <v>514</v>
      </c>
      <c r="C45" s="18">
        <v>43.955481</v>
      </c>
      <c r="D45" s="18">
        <v>2.086</v>
      </c>
      <c r="E45" s="12">
        <f>C45*'Reality Constants'!$B$2</f>
        <v>0</v>
      </c>
      <c r="F45" s="12">
        <f>E45 * ('Reality Constants'!$B$3 * 2)</f>
        <v>0</v>
      </c>
      <c r="G45" s="12">
        <f>F45 / 'Reality Constants'!$B$4</f>
        <v>273.1507767</v>
      </c>
      <c r="H45" s="12">
        <f>F45 / 'Reality Constants'!$B$5</f>
        <v>0</v>
      </c>
      <c r="I45" s="13">
        <f t="array" ref="I45">IFERROR(INDEX(all_stable_isotopes_complete_no!A:E, MATCH(B45, all_stable_isotopes_complete_no!B:B, 0), 5),"")</f>
        <v>600</v>
      </c>
      <c r="J45" s="12">
        <f t="shared" si="1"/>
        <v>0</v>
      </c>
      <c r="K45" s="12">
        <f t="shared" si="2"/>
        <v>0</v>
      </c>
    </row>
    <row r="46" ht="22.5" customHeight="1">
      <c r="A46" s="17" t="s">
        <v>88</v>
      </c>
      <c r="B46" s="17" t="s">
        <v>515</v>
      </c>
      <c r="C46" s="18">
        <v>45.953693</v>
      </c>
      <c r="D46" s="18">
        <v>0.004</v>
      </c>
      <c r="E46" s="12">
        <f>C46*'Reality Constants'!$B$2</f>
        <v>0</v>
      </c>
      <c r="F46" s="12">
        <f>E46 * ('Reality Constants'!$B$3 * 2)</f>
        <v>0</v>
      </c>
      <c r="G46" s="12">
        <f>F46 / 'Reality Constants'!$B$4</f>
        <v>285.5681851</v>
      </c>
      <c r="H46" s="12">
        <f>F46 / 'Reality Constants'!$B$5</f>
        <v>0</v>
      </c>
      <c r="I46" s="13">
        <f t="array" ref="I46">IFERROR(INDEX(all_stable_isotopes_complete_no!A:E, MATCH(B46, all_stable_isotopes_complete_no!B:B, 0), 5),"")</f>
        <v>2000</v>
      </c>
      <c r="J46" s="12">
        <f t="shared" si="1"/>
        <v>0</v>
      </c>
      <c r="K46" s="12">
        <f t="shared" si="2"/>
        <v>0</v>
      </c>
    </row>
    <row r="47" ht="22.5" customHeight="1">
      <c r="A47" s="17" t="s">
        <v>95</v>
      </c>
      <c r="B47" s="17" t="s">
        <v>516</v>
      </c>
      <c r="C47" s="18">
        <v>44.955914</v>
      </c>
      <c r="D47" s="18">
        <v>100.0</v>
      </c>
      <c r="E47" s="12">
        <f>C47*'Reality Constants'!$B$2</f>
        <v>0</v>
      </c>
      <c r="F47" s="12">
        <f>E47 * ('Reality Constants'!$B$3 * 2)</f>
        <v>0</v>
      </c>
      <c r="G47" s="12">
        <f>F47 / 'Reality Constants'!$B$4</f>
        <v>279.3677272</v>
      </c>
      <c r="H47" s="12">
        <f>F47 / 'Reality Constants'!$B$5</f>
        <v>0</v>
      </c>
      <c r="I47" s="13">
        <f t="array" ref="I47">IFERROR(INDEX(all_stable_isotopes_complete_no!A:E, MATCH(B47, all_stable_isotopes_complete_no!B:B, 0), 5),"")</f>
        <v>3831.98</v>
      </c>
      <c r="J47" s="12">
        <f t="shared" si="1"/>
        <v>0</v>
      </c>
      <c r="K47" s="12">
        <f t="shared" si="2"/>
        <v>0</v>
      </c>
    </row>
    <row r="48" ht="22.5" customHeight="1">
      <c r="A48" s="17" t="s">
        <v>97</v>
      </c>
      <c r="B48" s="17" t="s">
        <v>517</v>
      </c>
      <c r="C48" s="18">
        <v>45.952633</v>
      </c>
      <c r="D48" s="18">
        <v>8.0</v>
      </c>
      <c r="E48" s="12">
        <f>C48*'Reality Constants'!$B$2</f>
        <v>0</v>
      </c>
      <c r="F48" s="12">
        <f>E48 * ('Reality Constants'!$B$3 * 2)</f>
        <v>0</v>
      </c>
      <c r="G48" s="12">
        <f>F48 / 'Reality Constants'!$B$4</f>
        <v>285.561598</v>
      </c>
      <c r="H48" s="12">
        <f>F48 / 'Reality Constants'!$B$5</f>
        <v>0</v>
      </c>
      <c r="I48" s="13">
        <f t="array" ref="I48">IFERROR(INDEX(all_stable_isotopes_complete_no!A:E, MATCH(B48, all_stable_isotopes_complete_no!B:B, 0), 5),"")</f>
        <v>12</v>
      </c>
      <c r="J48" s="12">
        <f t="shared" si="1"/>
        <v>0</v>
      </c>
      <c r="K48" s="12">
        <f t="shared" si="2"/>
        <v>0</v>
      </c>
    </row>
    <row r="49" ht="22.5" customHeight="1">
      <c r="A49" s="17" t="s">
        <v>97</v>
      </c>
      <c r="B49" s="17" t="s">
        <v>518</v>
      </c>
      <c r="C49" s="18">
        <v>46.951765</v>
      </c>
      <c r="D49" s="18">
        <v>7.3</v>
      </c>
      <c r="E49" s="12">
        <f>C49*'Reality Constants'!$B$2</f>
        <v>0</v>
      </c>
      <c r="F49" s="12">
        <f>E49 * ('Reality Constants'!$B$3 * 2)</f>
        <v>0</v>
      </c>
      <c r="G49" s="12">
        <f>F49 / 'Reality Constants'!$B$4</f>
        <v>291.7704638</v>
      </c>
      <c r="H49" s="12">
        <f>F49 / 'Reality Constants'!$B$5</f>
        <v>0</v>
      </c>
      <c r="I49" s="13">
        <f t="array" ref="I49">IFERROR(INDEX(all_stable_isotopes_complete_no!A:E, MATCH(B49, all_stable_isotopes_complete_no!B:B, 0), 5),"")</f>
        <v>12</v>
      </c>
      <c r="J49" s="12">
        <f t="shared" si="1"/>
        <v>0</v>
      </c>
      <c r="K49" s="12">
        <f t="shared" si="2"/>
        <v>0</v>
      </c>
    </row>
    <row r="50" ht="22.5" customHeight="1">
      <c r="A50" s="17" t="s">
        <v>97</v>
      </c>
      <c r="B50" s="17" t="s">
        <v>519</v>
      </c>
      <c r="C50" s="18">
        <v>47.947947</v>
      </c>
      <c r="D50" s="18">
        <v>73.72</v>
      </c>
      <c r="E50" s="12">
        <f>C50*'Reality Constants'!$B$2</f>
        <v>0</v>
      </c>
      <c r="F50" s="12">
        <f>E50 * ('Reality Constants'!$B$3 * 2)</f>
        <v>0</v>
      </c>
      <c r="G50" s="12">
        <f>F50 / 'Reality Constants'!$B$4</f>
        <v>297.9609975</v>
      </c>
      <c r="H50" s="12">
        <f>F50 / 'Reality Constants'!$B$5</f>
        <v>0</v>
      </c>
      <c r="I50" s="13">
        <f t="array" ref="I50">IFERROR(INDEX(all_stable_isotopes_complete_no!A:E, MATCH(B50, all_stable_isotopes_complete_no!B:B, 0), 5),"")</f>
        <v>12</v>
      </c>
      <c r="J50" s="12">
        <f t="shared" si="1"/>
        <v>0</v>
      </c>
      <c r="K50" s="12">
        <f t="shared" si="2"/>
        <v>0</v>
      </c>
    </row>
    <row r="51" ht="22.5" customHeight="1">
      <c r="A51" s="17" t="s">
        <v>97</v>
      </c>
      <c r="B51" s="17" t="s">
        <v>520</v>
      </c>
      <c r="C51" s="18">
        <v>48.947871</v>
      </c>
      <c r="D51" s="18">
        <v>5.5</v>
      </c>
      <c r="E51" s="12">
        <f>C51*'Reality Constants'!$B$2</f>
        <v>0</v>
      </c>
      <c r="F51" s="12">
        <f>E51 * ('Reality Constants'!$B$3 * 2)</f>
        <v>0</v>
      </c>
      <c r="G51" s="12">
        <f>F51 / 'Reality Constants'!$B$4</f>
        <v>304.174785</v>
      </c>
      <c r="H51" s="12">
        <f>F51 / 'Reality Constants'!$B$5</f>
        <v>0</v>
      </c>
      <c r="I51" s="13">
        <f t="array" ref="I51">IFERROR(INDEX(all_stable_isotopes_complete_no!A:E, MATCH(B51, all_stable_isotopes_complete_no!B:B, 0), 5),"")</f>
        <v>12</v>
      </c>
      <c r="J51" s="12">
        <f t="shared" si="1"/>
        <v>0</v>
      </c>
      <c r="K51" s="12">
        <f t="shared" si="2"/>
        <v>0</v>
      </c>
    </row>
    <row r="52" ht="22.5" customHeight="1">
      <c r="A52" s="17" t="s">
        <v>97</v>
      </c>
      <c r="B52" s="17" t="s">
        <v>521</v>
      </c>
      <c r="C52" s="18">
        <v>49.944786</v>
      </c>
      <c r="D52" s="18">
        <v>5.41</v>
      </c>
      <c r="E52" s="12">
        <f>C52*'Reality Constants'!$B$2</f>
        <v>0</v>
      </c>
      <c r="F52" s="12">
        <f>E52 * ('Reality Constants'!$B$3 * 2)</f>
        <v>0</v>
      </c>
      <c r="G52" s="12">
        <f>F52 / 'Reality Constants'!$B$4</f>
        <v>310.3698738</v>
      </c>
      <c r="H52" s="12">
        <f>F52 / 'Reality Constants'!$B$5</f>
        <v>0</v>
      </c>
      <c r="I52" s="13">
        <f t="array" ref="I52">IFERROR(INDEX(all_stable_isotopes_complete_no!A:E, MATCH(B52, all_stable_isotopes_complete_no!B:B, 0), 5),"")</f>
        <v>12</v>
      </c>
      <c r="J52" s="12">
        <f t="shared" si="1"/>
        <v>0</v>
      </c>
      <c r="K52" s="12">
        <f t="shared" si="2"/>
        <v>0</v>
      </c>
    </row>
    <row r="53" ht="22.5" customHeight="1">
      <c r="A53" s="17" t="s">
        <v>107</v>
      </c>
      <c r="B53" s="17" t="s">
        <v>522</v>
      </c>
      <c r="C53" s="18">
        <v>49.947161</v>
      </c>
      <c r="D53" s="18">
        <v>0.25</v>
      </c>
      <c r="E53" s="12">
        <f>C53*'Reality Constants'!$B$2</f>
        <v>0</v>
      </c>
      <c r="F53" s="12">
        <f>E53 * ('Reality Constants'!$B$3 * 2)</f>
        <v>0</v>
      </c>
      <c r="G53" s="12">
        <f>F53 / 'Reality Constants'!$B$4</f>
        <v>310.3846326</v>
      </c>
      <c r="H53" s="12">
        <f>F53 / 'Reality Constants'!$B$5</f>
        <v>0</v>
      </c>
      <c r="I53" s="13">
        <f t="array" ref="I53">IFERROR(INDEX(all_stable_isotopes_complete_no!A:E, MATCH(B53, all_stable_isotopes_complete_no!B:B, 0), 5),"")</f>
        <v>35</v>
      </c>
      <c r="J53" s="12">
        <f t="shared" si="1"/>
        <v>0</v>
      </c>
      <c r="K53" s="12">
        <f t="shared" si="2"/>
        <v>0</v>
      </c>
    </row>
    <row r="54" ht="22.5" customHeight="1">
      <c r="A54" s="17" t="s">
        <v>107</v>
      </c>
      <c r="B54" s="17" t="s">
        <v>523</v>
      </c>
      <c r="C54" s="18">
        <v>50.943963</v>
      </c>
      <c r="D54" s="18">
        <v>99.75</v>
      </c>
      <c r="E54" s="12">
        <f>C54*'Reality Constants'!$B$2</f>
        <v>0</v>
      </c>
      <c r="F54" s="12">
        <f>E54 * ('Reality Constants'!$B$3 * 2)</f>
        <v>0</v>
      </c>
      <c r="G54" s="12">
        <f>F54 / 'Reality Constants'!$B$4</f>
        <v>316.5790192</v>
      </c>
      <c r="H54" s="12">
        <f>F54 / 'Reality Constants'!$B$5</f>
        <v>0</v>
      </c>
      <c r="I54" s="13">
        <f t="array" ref="I54">IFERROR(INDEX(all_stable_isotopes_complete_no!A:E, MATCH(B54, all_stable_isotopes_complete_no!B:B, 0), 5),"")</f>
        <v>35</v>
      </c>
      <c r="J54" s="12">
        <f t="shared" si="1"/>
        <v>0</v>
      </c>
      <c r="K54" s="12">
        <f t="shared" si="2"/>
        <v>0</v>
      </c>
    </row>
    <row r="55" ht="22.5" customHeight="1">
      <c r="A55" s="17" t="s">
        <v>105</v>
      </c>
      <c r="B55" s="17" t="s">
        <v>524</v>
      </c>
      <c r="C55" s="18">
        <v>49.946046</v>
      </c>
      <c r="D55" s="18">
        <v>4.345</v>
      </c>
      <c r="E55" s="12">
        <f>C55*'Reality Constants'!$B$2</f>
        <v>0</v>
      </c>
      <c r="F55" s="12">
        <f>E55 * ('Reality Constants'!$B$3 * 2)</f>
        <v>0</v>
      </c>
      <c r="G55" s="12">
        <f>F55 / 'Reality Constants'!$B$4</f>
        <v>310.3777037</v>
      </c>
      <c r="H55" s="12">
        <f>F55 / 'Reality Constants'!$B$5</f>
        <v>0</v>
      </c>
      <c r="I55" s="13">
        <f t="array" ref="I55">IFERROR(INDEX(all_stable_isotopes_complete_no!A:E, MATCH(B55, all_stable_isotopes_complete_no!B:B, 0), 5),"")</f>
        <v>8.5</v>
      </c>
      <c r="J55" s="12">
        <f t="shared" si="1"/>
        <v>0</v>
      </c>
      <c r="K55" s="12">
        <f t="shared" si="2"/>
        <v>0</v>
      </c>
    </row>
    <row r="56" ht="22.5" customHeight="1">
      <c r="A56" s="17" t="s">
        <v>105</v>
      </c>
      <c r="B56" s="17" t="s">
        <v>525</v>
      </c>
      <c r="C56" s="18">
        <v>51.94051</v>
      </c>
      <c r="D56" s="18">
        <v>83.789</v>
      </c>
      <c r="E56" s="12">
        <f>C56*'Reality Constants'!$B$2</f>
        <v>0</v>
      </c>
      <c r="F56" s="12">
        <f>E56 * ('Reality Constants'!$B$3 * 2)</f>
        <v>0</v>
      </c>
      <c r="G56" s="12">
        <f>F56 / 'Reality Constants'!$B$4</f>
        <v>322.7718211</v>
      </c>
      <c r="H56" s="12">
        <f>F56 / 'Reality Constants'!$B$5</f>
        <v>0</v>
      </c>
      <c r="I56" s="13">
        <f t="array" ref="I56">IFERROR(INDEX(all_stable_isotopes_complete_no!A:E, MATCH(B56, all_stable_isotopes_complete_no!B:B, 0), 5),"")</f>
        <v>8.5</v>
      </c>
      <c r="J56" s="12">
        <f t="shared" si="1"/>
        <v>0</v>
      </c>
      <c r="K56" s="12">
        <f t="shared" si="2"/>
        <v>0</v>
      </c>
    </row>
    <row r="57" ht="22.5" customHeight="1">
      <c r="A57" s="17" t="s">
        <v>105</v>
      </c>
      <c r="B57" s="17" t="s">
        <v>526</v>
      </c>
      <c r="C57" s="18">
        <v>52.940651</v>
      </c>
      <c r="D57" s="18">
        <v>9.501</v>
      </c>
      <c r="E57" s="12">
        <f>C57*'Reality Constants'!$B$2</f>
        <v>0</v>
      </c>
      <c r="F57" s="12">
        <f>E57 * ('Reality Constants'!$B$3 * 2)</f>
        <v>0</v>
      </c>
      <c r="G57" s="12">
        <f>F57 / 'Reality Constants'!$B$4</f>
        <v>328.9869571</v>
      </c>
      <c r="H57" s="12">
        <f>F57 / 'Reality Constants'!$B$5</f>
        <v>0</v>
      </c>
      <c r="I57" s="13">
        <f t="array" ref="I57">IFERROR(INDEX(all_stable_isotopes_complete_no!A:E, MATCH(B57, all_stable_isotopes_complete_no!B:B, 0), 5),"")</f>
        <v>8.5</v>
      </c>
      <c r="J57" s="12">
        <f t="shared" si="1"/>
        <v>0</v>
      </c>
      <c r="K57" s="12">
        <f t="shared" si="2"/>
        <v>0</v>
      </c>
    </row>
    <row r="58" ht="22.5" customHeight="1">
      <c r="A58" s="17" t="s">
        <v>105</v>
      </c>
      <c r="B58" s="17" t="s">
        <v>527</v>
      </c>
      <c r="C58" s="18">
        <v>53.938882</v>
      </c>
      <c r="D58" s="18">
        <v>2.365</v>
      </c>
      <c r="E58" s="12">
        <f>C58*'Reality Constants'!$B$2</f>
        <v>0</v>
      </c>
      <c r="F58" s="12">
        <f>E58 * ('Reality Constants'!$B$3 * 2)</f>
        <v>0</v>
      </c>
      <c r="G58" s="12">
        <f>F58 / 'Reality Constants'!$B$4</f>
        <v>335.1902238</v>
      </c>
      <c r="H58" s="12">
        <f>F58 / 'Reality Constants'!$B$5</f>
        <v>0</v>
      </c>
      <c r="I58" s="13">
        <f t="array" ref="I58">IFERROR(INDEX(all_stable_isotopes_complete_no!A:E, MATCH(B58, all_stable_isotopes_complete_no!B:B, 0), 5),"")</f>
        <v>8.5</v>
      </c>
      <c r="J58" s="12">
        <f t="shared" si="1"/>
        <v>0</v>
      </c>
      <c r="K58" s="12">
        <f t="shared" si="2"/>
        <v>0</v>
      </c>
    </row>
    <row r="59" ht="22.5" customHeight="1">
      <c r="A59" s="17" t="s">
        <v>115</v>
      </c>
      <c r="B59" s="17" t="s">
        <v>528</v>
      </c>
      <c r="C59" s="18">
        <v>54.938046</v>
      </c>
      <c r="D59" s="18">
        <v>100.0</v>
      </c>
      <c r="E59" s="12">
        <f>C59*'Reality Constants'!$B$2</f>
        <v>0</v>
      </c>
      <c r="F59" s="12">
        <f>E59 * ('Reality Constants'!$B$3 * 2)</f>
        <v>0</v>
      </c>
      <c r="G59" s="12">
        <f>F59 / 'Reality Constants'!$B$4</f>
        <v>341.3992884</v>
      </c>
      <c r="H59" s="12">
        <f>F59 / 'Reality Constants'!$B$5</f>
        <v>0</v>
      </c>
      <c r="I59" s="13">
        <f t="array" ref="I59">IFERROR(INDEX(all_stable_isotopes_complete_no!A:E, MATCH(B59, all_stable_isotopes_complete_no!B:B, 0), 5),"")</f>
        <v>1.8</v>
      </c>
      <c r="J59" s="12">
        <f t="shared" si="1"/>
        <v>0</v>
      </c>
      <c r="K59" s="12">
        <f t="shared" si="2"/>
        <v>0</v>
      </c>
    </row>
    <row r="60" ht="22.5" customHeight="1">
      <c r="A60" s="17" t="s">
        <v>113</v>
      </c>
      <c r="B60" s="17" t="s">
        <v>529</v>
      </c>
      <c r="C60" s="18">
        <v>53.939612</v>
      </c>
      <c r="D60" s="18">
        <v>5.845</v>
      </c>
      <c r="E60" s="12">
        <f>C60*'Reality Constants'!$B$2</f>
        <v>0</v>
      </c>
      <c r="F60" s="12">
        <f>E60 * ('Reality Constants'!$B$3 * 2)</f>
        <v>0</v>
      </c>
      <c r="G60" s="12">
        <f>F60 / 'Reality Constants'!$B$4</f>
        <v>335.1947602</v>
      </c>
      <c r="H60" s="12">
        <f>F60 / 'Reality Constants'!$B$5</f>
        <v>0</v>
      </c>
      <c r="I60" s="13">
        <f t="array" ref="I60">IFERROR(INDEX(all_stable_isotopes_complete_no!A:E, MATCH(B60, all_stable_isotopes_complete_no!B:B, 0), 5),"")</f>
        <v>0.11</v>
      </c>
      <c r="J60" s="12">
        <f t="shared" si="1"/>
        <v>0</v>
      </c>
      <c r="K60" s="12">
        <f t="shared" si="2"/>
        <v>0</v>
      </c>
    </row>
    <row r="61" ht="22.5" customHeight="1">
      <c r="A61" s="17" t="s">
        <v>113</v>
      </c>
      <c r="B61" s="17" t="s">
        <v>530</v>
      </c>
      <c r="C61" s="18">
        <v>55.934939</v>
      </c>
      <c r="D61" s="18">
        <v>91.754</v>
      </c>
      <c r="E61" s="12">
        <f>C61*'Reality Constants'!$B$2</f>
        <v>0</v>
      </c>
      <c r="F61" s="12">
        <f>E61 * ('Reality Constants'!$B$3 * 2)</f>
        <v>0</v>
      </c>
      <c r="G61" s="12">
        <f>F61 / 'Reality Constants'!$B$4</f>
        <v>347.5942405</v>
      </c>
      <c r="H61" s="12">
        <f>F61 / 'Reality Constants'!$B$5</f>
        <v>0</v>
      </c>
      <c r="I61" s="13">
        <f t="array" ref="I61">IFERROR(INDEX(all_stable_isotopes_complete_no!A:E, MATCH(B61, all_stable_isotopes_complete_no!B:B, 0), 5),"")</f>
        <v>0.11</v>
      </c>
      <c r="J61" s="12">
        <f t="shared" si="1"/>
        <v>0</v>
      </c>
      <c r="K61" s="12">
        <f t="shared" si="2"/>
        <v>0</v>
      </c>
    </row>
    <row r="62" ht="22.5" customHeight="1">
      <c r="A62" s="17" t="s">
        <v>113</v>
      </c>
      <c r="B62" s="17" t="s">
        <v>531</v>
      </c>
      <c r="C62" s="18">
        <v>56.935396</v>
      </c>
      <c r="D62" s="18">
        <v>2.119</v>
      </c>
      <c r="E62" s="12">
        <f>C62*'Reality Constants'!$B$2</f>
        <v>0</v>
      </c>
      <c r="F62" s="12">
        <f>E62 * ('Reality Constants'!$B$3 * 2)</f>
        <v>0</v>
      </c>
      <c r="G62" s="12">
        <f>F62 / 'Reality Constants'!$B$4</f>
        <v>353.8113402</v>
      </c>
      <c r="H62" s="12">
        <f>F62 / 'Reality Constants'!$B$5</f>
        <v>0</v>
      </c>
      <c r="I62" s="13">
        <f t="array" ref="I62">IFERROR(INDEX(all_stable_isotopes_complete_no!A:E, MATCH(B62, all_stable_isotopes_complete_no!B:B, 0), 5),"")</f>
        <v>0.11</v>
      </c>
      <c r="J62" s="12">
        <f t="shared" si="1"/>
        <v>0</v>
      </c>
      <c r="K62" s="12">
        <f t="shared" si="2"/>
        <v>0</v>
      </c>
    </row>
    <row r="63" ht="22.5" customHeight="1">
      <c r="A63" s="17" t="s">
        <v>113</v>
      </c>
      <c r="B63" s="17" t="s">
        <v>532</v>
      </c>
      <c r="C63" s="18">
        <v>57.933278</v>
      </c>
      <c r="D63" s="18">
        <v>0.282</v>
      </c>
      <c r="E63" s="12">
        <f>C63*'Reality Constants'!$B$2</f>
        <v>0</v>
      </c>
      <c r="F63" s="12">
        <f>E63 * ('Reality Constants'!$B$3 * 2)</f>
        <v>0</v>
      </c>
      <c r="G63" s="12">
        <f>F63 / 'Reality Constants'!$B$4</f>
        <v>360.0124381</v>
      </c>
      <c r="H63" s="12">
        <f>F63 / 'Reality Constants'!$B$5</f>
        <v>0</v>
      </c>
      <c r="I63" s="13">
        <f t="array" ref="I63">IFERROR(INDEX(all_stable_isotopes_complete_no!A:E, MATCH(B63, all_stable_isotopes_complete_no!B:B, 0), 5),"")</f>
        <v>0.11</v>
      </c>
      <c r="J63" s="12">
        <f t="shared" si="1"/>
        <v>0</v>
      </c>
      <c r="K63" s="12">
        <f t="shared" si="2"/>
        <v>0</v>
      </c>
    </row>
    <row r="64" ht="22.5" customHeight="1">
      <c r="A64" s="17" t="s">
        <v>122</v>
      </c>
      <c r="B64" s="17" t="s">
        <v>533</v>
      </c>
      <c r="C64" s="18">
        <v>58.933198</v>
      </c>
      <c r="D64" s="18">
        <v>100.0</v>
      </c>
      <c r="E64" s="12">
        <f>C64*'Reality Constants'!$B$2</f>
        <v>0</v>
      </c>
      <c r="F64" s="12">
        <f>E64 * ('Reality Constants'!$B$3 * 2)</f>
        <v>0</v>
      </c>
      <c r="G64" s="12">
        <f>F64 / 'Reality Constants'!$B$4</f>
        <v>366.2262007</v>
      </c>
      <c r="H64" s="12">
        <f>F64 / 'Reality Constants'!$B$5</f>
        <v>0</v>
      </c>
      <c r="I64" s="13">
        <f t="array" ref="I64">IFERROR(INDEX(all_stable_isotopes_complete_no!A:E, MATCH(B64, all_stable_isotopes_complete_no!B:B, 0), 5),"")</f>
        <v>30</v>
      </c>
      <c r="J64" s="12">
        <f t="shared" si="1"/>
        <v>0</v>
      </c>
      <c r="K64" s="12">
        <f t="shared" si="2"/>
        <v>0</v>
      </c>
    </row>
    <row r="65" ht="22.5" customHeight="1">
      <c r="A65" s="17" t="s">
        <v>120</v>
      </c>
      <c r="B65" s="17" t="s">
        <v>534</v>
      </c>
      <c r="C65" s="18">
        <v>57.935347</v>
      </c>
      <c r="D65" s="18">
        <v>68.077</v>
      </c>
      <c r="E65" s="12">
        <f>C65*'Reality Constants'!$B$2</f>
        <v>0</v>
      </c>
      <c r="F65" s="12">
        <f>E65 * ('Reality Constants'!$B$3 * 2)</f>
        <v>0</v>
      </c>
      <c r="G65" s="12">
        <f>F65 / 'Reality Constants'!$B$4</f>
        <v>360.0252954</v>
      </c>
      <c r="H65" s="12">
        <f>F65 / 'Reality Constants'!$B$5</f>
        <v>0</v>
      </c>
      <c r="I65" s="13">
        <f t="array" ref="I65">IFERROR(INDEX(all_stable_isotopes_complete_no!A:E, MATCH(B65, all_stable_isotopes_complete_no!B:B, 0), 5),"")</f>
        <v>14.89</v>
      </c>
      <c r="J65" s="12">
        <f t="shared" si="1"/>
        <v>0</v>
      </c>
      <c r="K65" s="12">
        <f t="shared" si="2"/>
        <v>0</v>
      </c>
    </row>
    <row r="66" ht="22.5" customHeight="1">
      <c r="A66" s="17" t="s">
        <v>120</v>
      </c>
      <c r="B66" s="17" t="s">
        <v>535</v>
      </c>
      <c r="C66" s="18">
        <v>59.930789</v>
      </c>
      <c r="D66" s="18">
        <v>26.223</v>
      </c>
      <c r="E66" s="12">
        <f>C66*'Reality Constants'!$B$2</f>
        <v>0</v>
      </c>
      <c r="F66" s="12">
        <f>E66 * ('Reality Constants'!$B$3 * 2)</f>
        <v>0</v>
      </c>
      <c r="G66" s="12">
        <f>F66 / 'Reality Constants'!$B$4</f>
        <v>372.4254903</v>
      </c>
      <c r="H66" s="12">
        <f>F66 / 'Reality Constants'!$B$5</f>
        <v>0</v>
      </c>
      <c r="I66" s="13">
        <f t="array" ref="I66">IFERROR(INDEX(all_stable_isotopes_complete_no!A:E, MATCH(B66, all_stable_isotopes_complete_no!B:B, 0), 5),"")</f>
        <v>14.89</v>
      </c>
      <c r="J66" s="12">
        <f t="shared" si="1"/>
        <v>0</v>
      </c>
      <c r="K66" s="12">
        <f t="shared" si="2"/>
        <v>0</v>
      </c>
    </row>
    <row r="67" ht="22.5" customHeight="1">
      <c r="A67" s="17" t="s">
        <v>120</v>
      </c>
      <c r="B67" s="17" t="s">
        <v>536</v>
      </c>
      <c r="C67" s="18">
        <v>60.931059</v>
      </c>
      <c r="D67" s="18">
        <v>1.14</v>
      </c>
      <c r="E67" s="12">
        <f>C67*'Reality Constants'!$B$2</f>
        <v>0</v>
      </c>
      <c r="F67" s="12">
        <f>E67 * ('Reality Constants'!$B$3 * 2)</f>
        <v>0</v>
      </c>
      <c r="G67" s="12">
        <f>F67 / 'Reality Constants'!$B$4</f>
        <v>378.6414279</v>
      </c>
      <c r="H67" s="12">
        <f>F67 / 'Reality Constants'!$B$5</f>
        <v>0</v>
      </c>
      <c r="I67" s="13">
        <f t="array" ref="I67">IFERROR(INDEX(all_stable_isotopes_complete_no!A:E, MATCH(B67, all_stable_isotopes_complete_no!B:B, 0), 5),"")</f>
        <v>14.89</v>
      </c>
      <c r="J67" s="12">
        <f t="shared" si="1"/>
        <v>0</v>
      </c>
      <c r="K67" s="12">
        <f t="shared" si="2"/>
        <v>0</v>
      </c>
    </row>
    <row r="68" ht="22.5" customHeight="1">
      <c r="A68" s="17" t="s">
        <v>120</v>
      </c>
      <c r="B68" s="17" t="s">
        <v>537</v>
      </c>
      <c r="C68" s="18">
        <v>61.928346</v>
      </c>
      <c r="D68" s="18">
        <v>3.634</v>
      </c>
      <c r="E68" s="12">
        <f>C68*'Reality Constants'!$B$2</f>
        <v>0</v>
      </c>
      <c r="F68" s="12">
        <f>E68 * ('Reality Constants'!$B$3 * 2)</f>
        <v>0</v>
      </c>
      <c r="G68" s="12">
        <f>F68 / 'Reality Constants'!$B$4</f>
        <v>384.8388284</v>
      </c>
      <c r="H68" s="12">
        <f>F68 / 'Reality Constants'!$B$5</f>
        <v>0</v>
      </c>
      <c r="I68" s="13">
        <f t="array" ref="I68">IFERROR(INDEX(all_stable_isotopes_complete_no!A:E, MATCH(B68, all_stable_isotopes_complete_no!B:B, 0), 5),"")</f>
        <v>14.89</v>
      </c>
      <c r="J68" s="12">
        <f t="shared" si="1"/>
        <v>0</v>
      </c>
      <c r="K68" s="12">
        <f t="shared" si="2"/>
        <v>0</v>
      </c>
    </row>
    <row r="69" ht="22.5" customHeight="1">
      <c r="A69" s="17" t="s">
        <v>120</v>
      </c>
      <c r="B69" s="17" t="s">
        <v>538</v>
      </c>
      <c r="C69" s="18">
        <v>63.927968</v>
      </c>
      <c r="D69" s="18">
        <v>0.926</v>
      </c>
      <c r="E69" s="12">
        <f>C69*'Reality Constants'!$B$2</f>
        <v>0</v>
      </c>
      <c r="F69" s="12">
        <f>E69 * ('Reality Constants'!$B$3 * 2)</f>
        <v>0</v>
      </c>
      <c r="G69" s="12">
        <f>F69 / 'Reality Constants'!$B$4</f>
        <v>397.2649989</v>
      </c>
      <c r="H69" s="12">
        <f>F69 / 'Reality Constants'!$B$5</f>
        <v>0</v>
      </c>
      <c r="I69" s="13">
        <f t="array" ref="I69">IFERROR(INDEX(all_stable_isotopes_complete_no!A:E, MATCH(B69, all_stable_isotopes_complete_no!B:B, 0), 5),"")</f>
        <v>14.89</v>
      </c>
      <c r="J69" s="12">
        <f t="shared" si="1"/>
        <v>0</v>
      </c>
      <c r="K69" s="12">
        <f t="shared" si="2"/>
        <v>0</v>
      </c>
    </row>
    <row r="70" ht="22.5" customHeight="1">
      <c r="A70" s="17" t="s">
        <v>127</v>
      </c>
      <c r="B70" s="17" t="s">
        <v>539</v>
      </c>
      <c r="C70" s="18">
        <v>62.929599</v>
      </c>
      <c r="D70" s="18">
        <v>69.154</v>
      </c>
      <c r="E70" s="12">
        <f>C70*'Reality Constants'!$B$2</f>
        <v>0</v>
      </c>
      <c r="F70" s="12">
        <f>E70 * ('Reality Constants'!$B$3 * 2)</f>
        <v>0</v>
      </c>
      <c r="G70" s="12">
        <f>F70 / 'Reality Constants'!$B$4</f>
        <v>391.0608746</v>
      </c>
      <c r="H70" s="12">
        <f>F70 / 'Reality Constants'!$B$5</f>
        <v>0</v>
      </c>
      <c r="I70" s="13">
        <f t="array" ref="I70">IFERROR(INDEX(all_stable_isotopes_complete_no!A:E, MATCH(B70, all_stable_isotopes_complete_no!B:B, 0), 5),"")</f>
        <v>11</v>
      </c>
      <c r="J70" s="12">
        <f t="shared" si="1"/>
        <v>0</v>
      </c>
      <c r="K70" s="12">
        <f t="shared" si="2"/>
        <v>0</v>
      </c>
    </row>
    <row r="71" ht="22.5" customHeight="1">
      <c r="A71" s="17" t="s">
        <v>127</v>
      </c>
      <c r="B71" s="17" t="s">
        <v>540</v>
      </c>
      <c r="C71" s="18">
        <v>64.927792</v>
      </c>
      <c r="D71" s="18">
        <v>30.846</v>
      </c>
      <c r="E71" s="12">
        <f>C71*'Reality Constants'!$B$2</f>
        <v>0</v>
      </c>
      <c r="F71" s="12">
        <f>E71 * ('Reality Constants'!$B$3 * 2)</f>
        <v>0</v>
      </c>
      <c r="G71" s="12">
        <f>F71 / 'Reality Constants'!$B$4</f>
        <v>403.478165</v>
      </c>
      <c r="H71" s="12">
        <f>F71 / 'Reality Constants'!$B$5</f>
        <v>0</v>
      </c>
      <c r="I71" s="13">
        <f t="array" ref="I71">IFERROR(INDEX(all_stable_isotopes_complete_no!A:E, MATCH(B71, all_stable_isotopes_complete_no!B:B, 0), 5),"")</f>
        <v>11</v>
      </c>
      <c r="J71" s="12">
        <f t="shared" si="1"/>
        <v>0</v>
      </c>
      <c r="K71" s="12">
        <f t="shared" si="2"/>
        <v>0</v>
      </c>
    </row>
    <row r="72" ht="22.5" customHeight="1">
      <c r="A72" s="17" t="s">
        <v>130</v>
      </c>
      <c r="B72" s="17" t="s">
        <v>541</v>
      </c>
      <c r="C72" s="18">
        <v>63.929145</v>
      </c>
      <c r="D72" s="18">
        <v>48.268</v>
      </c>
      <c r="E72" s="12">
        <f>C72*'Reality Constants'!$B$2</f>
        <v>0</v>
      </c>
      <c r="F72" s="12">
        <f>E72 * ('Reality Constants'!$B$3 * 2)</f>
        <v>0</v>
      </c>
      <c r="G72" s="12">
        <f>F72 / 'Reality Constants'!$B$4</f>
        <v>397.2723131</v>
      </c>
      <c r="H72" s="12">
        <f>F72 / 'Reality Constants'!$B$5</f>
        <v>0</v>
      </c>
      <c r="I72" s="13">
        <f t="array" ref="I72">IFERROR(INDEX(all_stable_isotopes_complete_no!A:E, MATCH(B72, all_stable_isotopes_complete_no!B:B, 0), 5),"")</f>
        <v>3.26</v>
      </c>
      <c r="J72" s="12">
        <f t="shared" si="1"/>
        <v>0</v>
      </c>
      <c r="K72" s="12">
        <f t="shared" si="2"/>
        <v>0</v>
      </c>
    </row>
    <row r="73" ht="22.5" customHeight="1">
      <c r="A73" s="17" t="s">
        <v>130</v>
      </c>
      <c r="B73" s="17" t="s">
        <v>542</v>
      </c>
      <c r="C73" s="18">
        <v>65.926035</v>
      </c>
      <c r="D73" s="18">
        <v>27.975</v>
      </c>
      <c r="E73" s="12">
        <f>C73*'Reality Constants'!$B$2</f>
        <v>0</v>
      </c>
      <c r="F73" s="12">
        <f>E73 * ('Reality Constants'!$B$3 * 2)</f>
        <v>0</v>
      </c>
      <c r="G73" s="12">
        <f>F73 / 'Reality Constants'!$B$4</f>
        <v>409.6815063</v>
      </c>
      <c r="H73" s="12">
        <f>F73 / 'Reality Constants'!$B$5</f>
        <v>0</v>
      </c>
      <c r="I73" s="13">
        <f t="array" ref="I73">IFERROR(INDEX(all_stable_isotopes_complete_no!A:E, MATCH(B73, all_stable_isotopes_complete_no!B:B, 0), 5),"")</f>
        <v>3.26</v>
      </c>
      <c r="J73" s="12">
        <f t="shared" si="1"/>
        <v>0</v>
      </c>
      <c r="K73" s="12">
        <f t="shared" si="2"/>
        <v>0</v>
      </c>
    </row>
    <row r="74" ht="22.5" customHeight="1">
      <c r="A74" s="17" t="s">
        <v>130</v>
      </c>
      <c r="B74" s="17" t="s">
        <v>543</v>
      </c>
      <c r="C74" s="18">
        <v>66.927129</v>
      </c>
      <c r="D74" s="18">
        <v>4.102</v>
      </c>
      <c r="E74" s="12">
        <f>C74*'Reality Constants'!$B$2</f>
        <v>0</v>
      </c>
      <c r="F74" s="12">
        <f>E74 * ('Reality Constants'!$B$3 * 2)</f>
        <v>0</v>
      </c>
      <c r="G74" s="12">
        <f>F74 / 'Reality Constants'!$B$4</f>
        <v>415.9025644</v>
      </c>
      <c r="H74" s="12">
        <f>F74 / 'Reality Constants'!$B$5</f>
        <v>0</v>
      </c>
      <c r="I74" s="13">
        <f t="array" ref="I74">IFERROR(INDEX(all_stable_isotopes_complete_no!A:E, MATCH(B74, all_stable_isotopes_complete_no!B:B, 0), 5),"")</f>
        <v>3.26</v>
      </c>
      <c r="J74" s="12">
        <f t="shared" si="1"/>
        <v>0</v>
      </c>
      <c r="K74" s="12">
        <f t="shared" si="2"/>
        <v>0</v>
      </c>
    </row>
    <row r="75" ht="22.5" customHeight="1">
      <c r="A75" s="17" t="s">
        <v>130</v>
      </c>
      <c r="B75" s="17" t="s">
        <v>544</v>
      </c>
      <c r="C75" s="18">
        <v>67.924846</v>
      </c>
      <c r="D75" s="18">
        <v>18.745</v>
      </c>
      <c r="E75" s="12">
        <f>C75*'Reality Constants'!$B$2</f>
        <v>0</v>
      </c>
      <c r="F75" s="12">
        <f>E75 * ('Reality Constants'!$B$3 * 2)</f>
        <v>0</v>
      </c>
      <c r="G75" s="12">
        <f>F75 / 'Reality Constants'!$B$4</f>
        <v>422.1026371</v>
      </c>
      <c r="H75" s="12">
        <f>F75 / 'Reality Constants'!$B$5</f>
        <v>0</v>
      </c>
      <c r="I75" s="13">
        <f t="array" ref="I75">IFERROR(INDEX(all_stable_isotopes_complete_no!A:E, MATCH(B75, all_stable_isotopes_complete_no!B:B, 0), 5),"")</f>
        <v>3.26</v>
      </c>
      <c r="J75" s="12">
        <f t="shared" si="1"/>
        <v>0</v>
      </c>
      <c r="K75" s="12">
        <f t="shared" si="2"/>
        <v>0</v>
      </c>
    </row>
    <row r="76" ht="22.5" customHeight="1">
      <c r="A76" s="17" t="s">
        <v>130</v>
      </c>
      <c r="B76" s="17" t="s">
        <v>545</v>
      </c>
      <c r="C76" s="18">
        <v>69.925325</v>
      </c>
      <c r="D76" s="18">
        <v>0.631</v>
      </c>
      <c r="E76" s="12">
        <f>C76*'Reality Constants'!$B$2</f>
        <v>0</v>
      </c>
      <c r="F76" s="12">
        <f>E76 * ('Reality Constants'!$B$3 * 2)</f>
        <v>0</v>
      </c>
      <c r="G76" s="12">
        <f>F76 / 'Reality Constants'!$B$4</f>
        <v>434.5341332</v>
      </c>
      <c r="H76" s="12">
        <f>F76 / 'Reality Constants'!$B$5</f>
        <v>0</v>
      </c>
      <c r="I76" s="13">
        <f t="array" ref="I76">IFERROR(INDEX(all_stable_isotopes_complete_no!A:E, MATCH(B76, all_stable_isotopes_complete_no!B:B, 0), 5),"")</f>
        <v>3.26</v>
      </c>
      <c r="J76" s="12">
        <f t="shared" si="1"/>
        <v>0</v>
      </c>
      <c r="K76" s="12">
        <f t="shared" si="2"/>
        <v>0</v>
      </c>
    </row>
    <row r="77" ht="22.5" customHeight="1">
      <c r="A77" s="17" t="s">
        <v>136</v>
      </c>
      <c r="B77" s="17" t="s">
        <v>546</v>
      </c>
      <c r="C77" s="18">
        <v>68.925581</v>
      </c>
      <c r="D77" s="18">
        <v>60.108</v>
      </c>
      <c r="E77" s="12">
        <f>C77*'Reality Constants'!$B$2</f>
        <v>0</v>
      </c>
      <c r="F77" s="12">
        <f>E77 * ('Reality Constants'!$B$3 * 2)</f>
        <v>0</v>
      </c>
      <c r="G77" s="12">
        <f>F77 / 'Reality Constants'!$B$4</f>
        <v>428.3214643</v>
      </c>
      <c r="H77" s="12">
        <f>F77 / 'Reality Constants'!$B$5</f>
        <v>0</v>
      </c>
      <c r="I77" s="13">
        <f t="array" ref="I77">IFERROR(INDEX(all_stable_isotopes_complete_no!A:E, MATCH(B77, all_stable_isotopes_complete_no!B:B, 0), 5),"")</f>
        <v>198.47</v>
      </c>
      <c r="J77" s="12">
        <f t="shared" si="1"/>
        <v>0</v>
      </c>
      <c r="K77" s="12">
        <f t="shared" si="2"/>
        <v>0</v>
      </c>
    </row>
    <row r="78" ht="22.5" customHeight="1">
      <c r="A78" s="17" t="s">
        <v>136</v>
      </c>
      <c r="B78" s="17" t="s">
        <v>547</v>
      </c>
      <c r="C78" s="18">
        <v>70.924701</v>
      </c>
      <c r="D78" s="18">
        <v>39.892</v>
      </c>
      <c r="E78" s="12">
        <f>C78*'Reality Constants'!$B$2</f>
        <v>0</v>
      </c>
      <c r="F78" s="12">
        <f>E78 * ('Reality Constants'!$B$3 * 2)</f>
        <v>0</v>
      </c>
      <c r="G78" s="12">
        <f>F78 / 'Reality Constants'!$B$4</f>
        <v>440.7445153</v>
      </c>
      <c r="H78" s="12">
        <f>F78 / 'Reality Constants'!$B$5</f>
        <v>0</v>
      </c>
      <c r="I78" s="13">
        <f t="array" ref="I78">IFERROR(INDEX(all_stable_isotopes_complete_no!A:E, MATCH(B78, all_stable_isotopes_complete_no!B:B, 0), 5),"")</f>
        <v>198.47</v>
      </c>
      <c r="J78" s="12">
        <f t="shared" si="1"/>
        <v>0</v>
      </c>
      <c r="K78" s="12">
        <f t="shared" si="2"/>
        <v>0</v>
      </c>
    </row>
    <row r="79" ht="22.5" customHeight="1">
      <c r="A79" s="17" t="s">
        <v>138</v>
      </c>
      <c r="B79" s="17" t="s">
        <v>548</v>
      </c>
      <c r="C79" s="18">
        <v>69.92425</v>
      </c>
      <c r="D79" s="18">
        <v>20.5</v>
      </c>
      <c r="E79" s="12">
        <f>C79*'Reality Constants'!$B$2</f>
        <v>0</v>
      </c>
      <c r="F79" s="12">
        <f>E79 * ('Reality Constants'!$B$3 * 2)</f>
        <v>0</v>
      </c>
      <c r="G79" s="12">
        <f>F79 / 'Reality Constants'!$B$4</f>
        <v>434.5274529</v>
      </c>
      <c r="H79" s="12">
        <f>F79 / 'Reality Constants'!$B$5</f>
        <v>0</v>
      </c>
      <c r="I79" s="13">
        <f t="array" ref="I79">IFERROR(INDEX(all_stable_isotopes_complete_no!A:E, MATCH(B79, all_stable_isotopes_complete_no!B:B, 0), 5),"")</f>
        <v>1782</v>
      </c>
      <c r="J79" s="12">
        <f t="shared" si="1"/>
        <v>0</v>
      </c>
      <c r="K79" s="12">
        <f t="shared" si="2"/>
        <v>0</v>
      </c>
    </row>
    <row r="80" ht="22.5" customHeight="1">
      <c r="A80" s="17" t="s">
        <v>138</v>
      </c>
      <c r="B80" s="17" t="s">
        <v>549</v>
      </c>
      <c r="C80" s="18">
        <v>71.92208</v>
      </c>
      <c r="D80" s="18">
        <v>27.4</v>
      </c>
      <c r="E80" s="12">
        <f>C80*'Reality Constants'!$B$2</f>
        <v>0</v>
      </c>
      <c r="F80" s="12">
        <f>E80 * ('Reality Constants'!$B$3 * 2)</f>
        <v>0</v>
      </c>
      <c r="G80" s="12">
        <f>F80 / 'Reality Constants'!$B$4</f>
        <v>446.9424874</v>
      </c>
      <c r="H80" s="12">
        <f>F80 / 'Reality Constants'!$B$5</f>
        <v>0</v>
      </c>
      <c r="I80" s="13">
        <f t="array" ref="I80">IFERROR(INDEX(all_stable_isotopes_complete_no!A:E, MATCH(B80, all_stable_isotopes_complete_no!B:B, 0), 5),"")</f>
        <v>1782</v>
      </c>
      <c r="J80" s="12">
        <f t="shared" si="1"/>
        <v>0</v>
      </c>
      <c r="K80" s="12">
        <f t="shared" si="2"/>
        <v>0</v>
      </c>
    </row>
    <row r="81" ht="22.5" customHeight="1">
      <c r="A81" s="17" t="s">
        <v>138</v>
      </c>
      <c r="B81" s="17" t="s">
        <v>550</v>
      </c>
      <c r="C81" s="18">
        <v>72.923464</v>
      </c>
      <c r="D81" s="18">
        <v>7.8</v>
      </c>
      <c r="E81" s="12">
        <f>C81*'Reality Constants'!$B$2</f>
        <v>0</v>
      </c>
      <c r="F81" s="12">
        <f>E81 * ('Reality Constants'!$B$3 * 2)</f>
        <v>0</v>
      </c>
      <c r="G81" s="12">
        <f>F81 / 'Reality Constants'!$B$4</f>
        <v>453.1653477</v>
      </c>
      <c r="H81" s="12">
        <f>F81 / 'Reality Constants'!$B$5</f>
        <v>0</v>
      </c>
      <c r="I81" s="13">
        <f t="array" ref="I81">IFERROR(INDEX(all_stable_isotopes_complete_no!A:E, MATCH(B81, all_stable_isotopes_complete_no!B:B, 0), 5),"")</f>
        <v>1782</v>
      </c>
      <c r="J81" s="12">
        <f t="shared" si="1"/>
        <v>0</v>
      </c>
      <c r="K81" s="12">
        <f t="shared" si="2"/>
        <v>0</v>
      </c>
    </row>
    <row r="82" ht="22.5" customHeight="1">
      <c r="A82" s="17" t="s">
        <v>138</v>
      </c>
      <c r="B82" s="17" t="s">
        <v>551</v>
      </c>
      <c r="C82" s="18">
        <v>73.921179</v>
      </c>
      <c r="D82" s="18">
        <v>36.5</v>
      </c>
      <c r="E82" s="12">
        <f>C82*'Reality Constants'!$B$2</f>
        <v>0</v>
      </c>
      <c r="F82" s="12">
        <f>E82 * ('Reality Constants'!$B$3 * 2)</f>
        <v>0</v>
      </c>
      <c r="G82" s="12">
        <f>F82 / 'Reality Constants'!$B$4</f>
        <v>459.3654079</v>
      </c>
      <c r="H82" s="12">
        <f>F82 / 'Reality Constants'!$B$5</f>
        <v>0</v>
      </c>
      <c r="I82" s="13">
        <f t="array" ref="I82">IFERROR(INDEX(all_stable_isotopes_complete_no!A:E, MATCH(B82, all_stable_isotopes_complete_no!B:B, 0), 5),"")</f>
        <v>1782</v>
      </c>
      <c r="J82" s="12">
        <f t="shared" si="1"/>
        <v>0</v>
      </c>
      <c r="K82" s="12">
        <f t="shared" si="2"/>
        <v>0</v>
      </c>
    </row>
    <row r="83" ht="22.5" customHeight="1">
      <c r="A83" s="17" t="s">
        <v>138</v>
      </c>
      <c r="B83" s="17" t="s">
        <v>552</v>
      </c>
      <c r="C83" s="18">
        <v>75.921403</v>
      </c>
      <c r="D83" s="18">
        <v>7.8</v>
      </c>
      <c r="E83" s="12">
        <f>C83*'Reality Constants'!$B$2</f>
        <v>0</v>
      </c>
      <c r="F83" s="12">
        <f>E83 * ('Reality Constants'!$B$3 * 2)</f>
        <v>0</v>
      </c>
      <c r="G83" s="12">
        <f>F83 / 'Reality Constants'!$B$4</f>
        <v>471.7953194</v>
      </c>
      <c r="H83" s="12">
        <f>F83 / 'Reality Constants'!$B$5</f>
        <v>0</v>
      </c>
      <c r="I83" s="13">
        <f t="array" ref="I83">IFERROR(INDEX(all_stable_isotopes_complete_no!A:E, MATCH(B83, all_stable_isotopes_complete_no!B:B, 0), 5),"")</f>
        <v>1782</v>
      </c>
      <c r="J83" s="12">
        <f t="shared" si="1"/>
        <v>0</v>
      </c>
      <c r="K83" s="12">
        <f t="shared" si="2"/>
        <v>0</v>
      </c>
    </row>
    <row r="84" ht="22.5" customHeight="1">
      <c r="A84" s="17" t="s">
        <v>147</v>
      </c>
      <c r="B84" s="17" t="s">
        <v>553</v>
      </c>
      <c r="C84" s="18">
        <v>74.921596</v>
      </c>
      <c r="D84" s="18">
        <v>100.0</v>
      </c>
      <c r="E84" s="12">
        <f>C84*'Reality Constants'!$B$2</f>
        <v>0</v>
      </c>
      <c r="F84" s="12">
        <f>E84 * ('Reality Constants'!$B$3 * 2)</f>
        <v>0</v>
      </c>
      <c r="G84" s="12">
        <f>F84 / 'Reality Constants'!$B$4</f>
        <v>465.582259</v>
      </c>
      <c r="H84" s="12">
        <f>F84 / 'Reality Constants'!$B$5</f>
        <v>0</v>
      </c>
      <c r="I84" s="13">
        <f t="array" ref="I84">IFERROR(INDEX(all_stable_isotopes_complete_no!A:E, MATCH(B84, all_stable_isotopes_complete_no!B:B, 0), 5),"")</f>
        <v>2.5</v>
      </c>
      <c r="J84" s="12">
        <f t="shared" si="1"/>
        <v>0</v>
      </c>
      <c r="K84" s="12">
        <f t="shared" si="2"/>
        <v>0</v>
      </c>
    </row>
    <row r="85" ht="22.5" customHeight="1">
      <c r="A85" s="17" t="s">
        <v>145</v>
      </c>
      <c r="B85" s="17" t="s">
        <v>554</v>
      </c>
      <c r="C85" s="18">
        <v>73.922477</v>
      </c>
      <c r="D85" s="18">
        <v>0.89</v>
      </c>
      <c r="E85" s="12">
        <f>C85*'Reality Constants'!$B$2</f>
        <v>0</v>
      </c>
      <c r="F85" s="12">
        <f>E85 * ('Reality Constants'!$B$3 * 2)</f>
        <v>0</v>
      </c>
      <c r="G85" s="12">
        <f>F85 / 'Reality Constants'!$B$4</f>
        <v>459.373474</v>
      </c>
      <c r="H85" s="12">
        <f>F85 / 'Reality Constants'!$B$5</f>
        <v>0</v>
      </c>
      <c r="I85" s="13">
        <f t="array" ref="I85">IFERROR(INDEX(all_stable_isotopes_complete_no!A:E, MATCH(B85, all_stable_isotopes_complete_no!B:B, 0), 5),"")</f>
        <v>85</v>
      </c>
      <c r="J85" s="12">
        <f t="shared" si="1"/>
        <v>0</v>
      </c>
      <c r="K85" s="12">
        <f t="shared" si="2"/>
        <v>0</v>
      </c>
    </row>
    <row r="86" ht="22.5" customHeight="1">
      <c r="A86" s="17" t="s">
        <v>145</v>
      </c>
      <c r="B86" s="17" t="s">
        <v>555</v>
      </c>
      <c r="C86" s="18">
        <v>75.919207</v>
      </c>
      <c r="D86" s="18">
        <v>9.37</v>
      </c>
      <c r="E86" s="12">
        <f>C86*'Reality Constants'!$B$2</f>
        <v>0</v>
      </c>
      <c r="F86" s="12">
        <f>E86 * ('Reality Constants'!$B$3 * 2)</f>
        <v>0</v>
      </c>
      <c r="G86" s="12">
        <f>F86 / 'Reality Constants'!$B$4</f>
        <v>471.7816729</v>
      </c>
      <c r="H86" s="12">
        <f>F86 / 'Reality Constants'!$B$5</f>
        <v>0</v>
      </c>
      <c r="I86" s="13">
        <f t="array" ref="I86">IFERROR(INDEX(all_stable_isotopes_complete_no!A:E, MATCH(B86, all_stable_isotopes_complete_no!B:B, 0), 5),"")</f>
        <v>85</v>
      </c>
      <c r="J86" s="12">
        <f t="shared" si="1"/>
        <v>0</v>
      </c>
      <c r="K86" s="12">
        <f t="shared" si="2"/>
        <v>0</v>
      </c>
    </row>
    <row r="87" ht="22.5" customHeight="1">
      <c r="A87" s="17" t="s">
        <v>145</v>
      </c>
      <c r="B87" s="17" t="s">
        <v>556</v>
      </c>
      <c r="C87" s="18">
        <v>76.919908</v>
      </c>
      <c r="D87" s="18">
        <v>7.63</v>
      </c>
      <c r="E87" s="12">
        <f>C87*'Reality Constants'!$B$2</f>
        <v>0</v>
      </c>
      <c r="F87" s="12">
        <f>E87 * ('Reality Constants'!$B$3 * 2)</f>
        <v>0</v>
      </c>
      <c r="G87" s="12">
        <f>F87 / 'Reality Constants'!$B$4</f>
        <v>478.0002889</v>
      </c>
      <c r="H87" s="12">
        <f>F87 / 'Reality Constants'!$B$5</f>
        <v>0</v>
      </c>
      <c r="I87" s="13">
        <f t="array" ref="I87">IFERROR(INDEX(all_stable_isotopes_complete_no!A:E, MATCH(B87, all_stable_isotopes_complete_no!B:B, 0), 5),"")</f>
        <v>85</v>
      </c>
      <c r="J87" s="12">
        <f t="shared" si="1"/>
        <v>0</v>
      </c>
      <c r="K87" s="12">
        <f t="shared" si="2"/>
        <v>0</v>
      </c>
    </row>
    <row r="88" ht="22.5" customHeight="1">
      <c r="A88" s="17" t="s">
        <v>145</v>
      </c>
      <c r="B88" s="17" t="s">
        <v>557</v>
      </c>
      <c r="C88" s="18">
        <v>77.917304</v>
      </c>
      <c r="D88" s="18">
        <v>23.77</v>
      </c>
      <c r="E88" s="12">
        <f>C88*'Reality Constants'!$B$2</f>
        <v>0</v>
      </c>
      <c r="F88" s="12">
        <f>E88 * ('Reality Constants'!$B$3 * 2)</f>
        <v>0</v>
      </c>
      <c r="G88" s="12">
        <f>F88 / 'Reality Constants'!$B$4</f>
        <v>484.1983667</v>
      </c>
      <c r="H88" s="12">
        <f>F88 / 'Reality Constants'!$B$5</f>
        <v>0</v>
      </c>
      <c r="I88" s="13">
        <f t="array" ref="I88">IFERROR(INDEX(all_stable_isotopes_complete_no!A:E, MATCH(B88, all_stable_isotopes_complete_no!B:B, 0), 5),"")</f>
        <v>85</v>
      </c>
      <c r="J88" s="12">
        <f t="shared" si="1"/>
        <v>0</v>
      </c>
      <c r="K88" s="12">
        <f t="shared" si="2"/>
        <v>0</v>
      </c>
    </row>
    <row r="89" ht="22.5" customHeight="1">
      <c r="A89" s="17" t="s">
        <v>145</v>
      </c>
      <c r="B89" s="17" t="s">
        <v>558</v>
      </c>
      <c r="C89" s="18">
        <v>79.916521</v>
      </c>
      <c r="D89" s="18">
        <v>49.61</v>
      </c>
      <c r="E89" s="12">
        <f>C89*'Reality Constants'!$B$2</f>
        <v>0</v>
      </c>
      <c r="F89" s="12">
        <f>E89 * ('Reality Constants'!$B$3 * 2)</f>
        <v>0</v>
      </c>
      <c r="G89" s="12">
        <f>F89 / 'Reality Constants'!$B$4</f>
        <v>496.6220204</v>
      </c>
      <c r="H89" s="12">
        <f>F89 / 'Reality Constants'!$B$5</f>
        <v>0</v>
      </c>
      <c r="I89" s="13">
        <f t="array" ref="I89">IFERROR(INDEX(all_stable_isotopes_complete_no!A:E, MATCH(B89, all_stable_isotopes_complete_no!B:B, 0), 5),"")</f>
        <v>85</v>
      </c>
      <c r="J89" s="12">
        <f t="shared" si="1"/>
        <v>0</v>
      </c>
      <c r="K89" s="12">
        <f t="shared" si="2"/>
        <v>0</v>
      </c>
    </row>
    <row r="90" ht="22.5" customHeight="1">
      <c r="A90" s="17" t="s">
        <v>145</v>
      </c>
      <c r="B90" s="17" t="s">
        <v>559</v>
      </c>
      <c r="C90" s="18">
        <v>81.916709</v>
      </c>
      <c r="D90" s="18">
        <v>8.73</v>
      </c>
      <c r="E90" s="12">
        <f>C90*'Reality Constants'!$B$2</f>
        <v>0</v>
      </c>
      <c r="F90" s="12">
        <f>E90 * ('Reality Constants'!$B$3 * 2)</f>
        <v>0</v>
      </c>
      <c r="G90" s="12">
        <f>F90 / 'Reality Constants'!$B$4</f>
        <v>509.0517082</v>
      </c>
      <c r="H90" s="12">
        <f>F90 / 'Reality Constants'!$B$5</f>
        <v>0</v>
      </c>
      <c r="I90" s="13">
        <f t="array" ref="I90">IFERROR(INDEX(all_stable_isotopes_complete_no!A:E, MATCH(B90, all_stable_isotopes_complete_no!B:B, 0), 5),"")</f>
        <v>85</v>
      </c>
      <c r="J90" s="12">
        <f t="shared" si="1"/>
        <v>0</v>
      </c>
      <c r="K90" s="12">
        <f t="shared" si="2"/>
        <v>0</v>
      </c>
    </row>
    <row r="91" ht="22.5" customHeight="1">
      <c r="A91" s="17" t="s">
        <v>155</v>
      </c>
      <c r="B91" s="17" t="s">
        <v>560</v>
      </c>
      <c r="C91" s="18">
        <v>78.918336</v>
      </c>
      <c r="D91" s="18">
        <v>50.69</v>
      </c>
      <c r="E91" s="12">
        <f>C91*'Reality Constants'!$B$2</f>
        <v>0</v>
      </c>
      <c r="F91" s="12">
        <f>E91 * ('Reality Constants'!$B$3 * 2)</f>
        <v>0</v>
      </c>
      <c r="G91" s="12">
        <f>F91 / 'Reality Constants'!$B$4</f>
        <v>490.4190396</v>
      </c>
      <c r="H91" s="12">
        <f>F91 / 'Reality Constants'!$B$5</f>
        <v>0</v>
      </c>
      <c r="I91" s="13">
        <f t="array" ref="I91">IFERROR(INDEX(all_stable_isotopes_complete_no!A:E, MATCH(B91, all_stable_isotopes_complete_no!B:B, 0), 5),"")</f>
        <v>5.2</v>
      </c>
      <c r="J91" s="12">
        <f t="shared" si="1"/>
        <v>0</v>
      </c>
      <c r="K91" s="12">
        <f t="shared" si="2"/>
        <v>0</v>
      </c>
    </row>
    <row r="92" ht="22.5" customHeight="1">
      <c r="A92" s="17" t="s">
        <v>155</v>
      </c>
      <c r="B92" s="17" t="s">
        <v>561</v>
      </c>
      <c r="C92" s="18">
        <v>80.91629</v>
      </c>
      <c r="D92" s="18">
        <v>49.31</v>
      </c>
      <c r="E92" s="12">
        <f>C92*'Reality Constants'!$B$2</f>
        <v>0</v>
      </c>
      <c r="F92" s="12">
        <f>E92 * ('Reality Constants'!$B$3 * 2)</f>
        <v>0</v>
      </c>
      <c r="G92" s="12">
        <f>F92 / 'Reality Constants'!$B$4</f>
        <v>502.8348447</v>
      </c>
      <c r="H92" s="12">
        <f>F92 / 'Reality Constants'!$B$5</f>
        <v>0</v>
      </c>
      <c r="I92" s="13">
        <f t="array" ref="I92">IFERROR(INDEX(all_stable_isotopes_complete_no!A:E, MATCH(B92, all_stable_isotopes_complete_no!B:B, 0), 5),"")</f>
        <v>5.2</v>
      </c>
      <c r="J92" s="12">
        <f t="shared" si="1"/>
        <v>0</v>
      </c>
      <c r="K92" s="12">
        <f t="shared" si="2"/>
        <v>0</v>
      </c>
    </row>
    <row r="93" ht="22.5" customHeight="1">
      <c r="A93" s="17" t="s">
        <v>153</v>
      </c>
      <c r="B93" s="17" t="s">
        <v>562</v>
      </c>
      <c r="C93" s="18">
        <v>77.920397</v>
      </c>
      <c r="D93" s="18">
        <v>0.35</v>
      </c>
      <c r="E93" s="12">
        <f>C93*'Reality Constants'!$B$2</f>
        <v>0</v>
      </c>
      <c r="F93" s="12">
        <f>E93 * ('Reality Constants'!$B$3 * 2)</f>
        <v>0</v>
      </c>
      <c r="G93" s="12">
        <f>F93 / 'Reality Constants'!$B$4</f>
        <v>484.2175874</v>
      </c>
      <c r="H93" s="12">
        <f>F93 / 'Reality Constants'!$B$5</f>
        <v>0</v>
      </c>
      <c r="I93" s="13">
        <f t="array" ref="I93">IFERROR(INDEX(all_stable_isotopes_complete_no!A:E, MATCH(B93, all_stable_isotopes_complete_no!B:B, 0), 5),"")</f>
        <v>15</v>
      </c>
      <c r="J93" s="12">
        <f t="shared" si="1"/>
        <v>0</v>
      </c>
      <c r="K93" s="12">
        <f t="shared" si="2"/>
        <v>0</v>
      </c>
    </row>
    <row r="94" ht="22.5" customHeight="1">
      <c r="A94" s="17" t="s">
        <v>153</v>
      </c>
      <c r="B94" s="17" t="s">
        <v>563</v>
      </c>
      <c r="C94" s="18">
        <v>79.916375</v>
      </c>
      <c r="D94" s="18">
        <v>2.25</v>
      </c>
      <c r="E94" s="12">
        <f>C94*'Reality Constants'!$B$2</f>
        <v>0</v>
      </c>
      <c r="F94" s="12">
        <f>E94 * ('Reality Constants'!$B$3 * 2)</f>
        <v>0</v>
      </c>
      <c r="G94" s="12">
        <f>F94 / 'Reality Constants'!$B$4</f>
        <v>496.6211132</v>
      </c>
      <c r="H94" s="12">
        <f>F94 / 'Reality Constants'!$B$5</f>
        <v>0</v>
      </c>
      <c r="I94" s="13">
        <f t="array" ref="I94">IFERROR(INDEX(all_stable_isotopes_complete_no!A:E, MATCH(B94, all_stable_isotopes_complete_no!B:B, 0), 5),"")</f>
        <v>15</v>
      </c>
      <c r="J94" s="12">
        <f t="shared" si="1"/>
        <v>0</v>
      </c>
      <c r="K94" s="12">
        <f t="shared" si="2"/>
        <v>0</v>
      </c>
    </row>
    <row r="95" ht="22.5" customHeight="1">
      <c r="A95" s="17" t="s">
        <v>153</v>
      </c>
      <c r="B95" s="17" t="s">
        <v>564</v>
      </c>
      <c r="C95" s="18">
        <v>81.913483</v>
      </c>
      <c r="D95" s="18">
        <v>11.6</v>
      </c>
      <c r="E95" s="12">
        <f>C95*'Reality Constants'!$B$2</f>
        <v>0</v>
      </c>
      <c r="F95" s="12">
        <f>E95 * ('Reality Constants'!$B$3 * 2)</f>
        <v>0</v>
      </c>
      <c r="G95" s="12">
        <f>F95 / 'Reality Constants'!$B$4</f>
        <v>509.031661</v>
      </c>
      <c r="H95" s="12">
        <f>F95 / 'Reality Constants'!$B$5</f>
        <v>0</v>
      </c>
      <c r="I95" s="13">
        <f t="array" ref="I95">IFERROR(INDEX(all_stable_isotopes_complete_no!A:E, MATCH(B95, all_stable_isotopes_complete_no!B:B, 0), 5),"")</f>
        <v>15</v>
      </c>
      <c r="J95" s="12">
        <f t="shared" si="1"/>
        <v>0</v>
      </c>
      <c r="K95" s="12">
        <f t="shared" si="2"/>
        <v>0</v>
      </c>
    </row>
    <row r="96" ht="22.5" customHeight="1">
      <c r="A96" s="17" t="s">
        <v>153</v>
      </c>
      <c r="B96" s="17" t="s">
        <v>565</v>
      </c>
      <c r="C96" s="18">
        <v>82.914134</v>
      </c>
      <c r="D96" s="18">
        <v>11.5</v>
      </c>
      <c r="E96" s="12">
        <f>C96*'Reality Constants'!$B$2</f>
        <v>0</v>
      </c>
      <c r="F96" s="12">
        <f>E96 * ('Reality Constants'!$B$3 * 2)</f>
        <v>0</v>
      </c>
      <c r="G96" s="12">
        <f>F96 / 'Reality Constants'!$B$4</f>
        <v>515.2499663</v>
      </c>
      <c r="H96" s="12">
        <f>F96 / 'Reality Constants'!$B$5</f>
        <v>0</v>
      </c>
      <c r="I96" s="13">
        <f t="array" ref="I96">IFERROR(INDEX(all_stable_isotopes_complete_no!A:E, MATCH(B96, all_stable_isotopes_complete_no!B:B, 0), 5),"")</f>
        <v>15</v>
      </c>
      <c r="J96" s="12">
        <f t="shared" si="1"/>
        <v>0</v>
      </c>
      <c r="K96" s="12">
        <f t="shared" si="2"/>
        <v>0</v>
      </c>
    </row>
    <row r="97" ht="22.5" customHeight="1">
      <c r="A97" s="17" t="s">
        <v>153</v>
      </c>
      <c r="B97" s="17" t="s">
        <v>566</v>
      </c>
      <c r="C97" s="18">
        <v>83.911506</v>
      </c>
      <c r="D97" s="18">
        <v>57.0</v>
      </c>
      <c r="E97" s="12">
        <f>C97*'Reality Constants'!$B$2</f>
        <v>0</v>
      </c>
      <c r="F97" s="12">
        <f>E97 * ('Reality Constants'!$B$3 * 2)</f>
        <v>0</v>
      </c>
      <c r="G97" s="12">
        <f>F97 / 'Reality Constants'!$B$4</f>
        <v>521.447895</v>
      </c>
      <c r="H97" s="12">
        <f>F97 / 'Reality Constants'!$B$5</f>
        <v>0</v>
      </c>
      <c r="I97" s="13">
        <f t="array" ref="I97">IFERROR(INDEX(all_stable_isotopes_complete_no!A:E, MATCH(B97, all_stable_isotopes_complete_no!B:B, 0), 5),"")</f>
        <v>15</v>
      </c>
      <c r="J97" s="12">
        <f t="shared" si="1"/>
        <v>0</v>
      </c>
      <c r="K97" s="12">
        <f t="shared" si="2"/>
        <v>0</v>
      </c>
    </row>
    <row r="98" ht="22.5" customHeight="1">
      <c r="A98" s="17" t="s">
        <v>153</v>
      </c>
      <c r="B98" s="17" t="s">
        <v>567</v>
      </c>
      <c r="C98" s="18">
        <v>85.910614</v>
      </c>
      <c r="D98" s="18">
        <v>17.3</v>
      </c>
      <c r="E98" s="12">
        <f>C98*'Reality Constants'!$B$2</f>
        <v>0</v>
      </c>
      <c r="F98" s="12">
        <f>E98 * ('Reality Constants'!$B$3 * 2)</f>
        <v>0</v>
      </c>
      <c r="G98" s="12">
        <f>F98 / 'Reality Constants'!$B$4</f>
        <v>533.8708713</v>
      </c>
      <c r="H98" s="12">
        <f>F98 / 'Reality Constants'!$B$5</f>
        <v>0</v>
      </c>
      <c r="I98" s="13">
        <f t="array" ref="I98">IFERROR(INDEX(all_stable_isotopes_complete_no!A:E, MATCH(B98, all_stable_isotopes_complete_no!B:B, 0), 5),"")</f>
        <v>15</v>
      </c>
      <c r="J98" s="12">
        <f t="shared" si="1"/>
        <v>0</v>
      </c>
      <c r="K98" s="12">
        <f t="shared" si="2"/>
        <v>0</v>
      </c>
    </row>
    <row r="99" ht="22.5" customHeight="1">
      <c r="A99" s="17" t="s">
        <v>166</v>
      </c>
      <c r="B99" s="17" t="s">
        <v>568</v>
      </c>
      <c r="C99" s="18">
        <v>84.9118</v>
      </c>
      <c r="D99" s="18">
        <v>72.17</v>
      </c>
      <c r="E99" s="12">
        <f>C99*'Reality Constants'!$B$2</f>
        <v>0</v>
      </c>
      <c r="F99" s="12">
        <f>E99 * ('Reality Constants'!$B$3 * 2)</f>
        <v>0</v>
      </c>
      <c r="G99" s="12">
        <f>F99 / 'Reality Constants'!$B$4</f>
        <v>527.6639817</v>
      </c>
      <c r="H99" s="12">
        <f>F99 / 'Reality Constants'!$B$5</f>
        <v>0</v>
      </c>
      <c r="I99" s="13">
        <f t="array" ref="I99">IFERROR(INDEX(all_stable_isotopes_complete_no!A:E, MATCH(B99, all_stable_isotopes_complete_no!B:B, 0), 5),"")</f>
        <v>125</v>
      </c>
      <c r="J99" s="12">
        <f t="shared" si="1"/>
        <v>0</v>
      </c>
      <c r="K99" s="12">
        <f t="shared" si="2"/>
        <v>0</v>
      </c>
    </row>
    <row r="100" ht="22.5" customHeight="1">
      <c r="A100" s="17" t="s">
        <v>166</v>
      </c>
      <c r="B100" s="17" t="s">
        <v>569</v>
      </c>
      <c r="C100" s="18">
        <v>86.909184</v>
      </c>
      <c r="D100" s="18">
        <v>27.83</v>
      </c>
      <c r="E100" s="12">
        <f>C100*'Reality Constants'!$B$2</f>
        <v>0</v>
      </c>
      <c r="F100" s="12">
        <f>E100 * ('Reality Constants'!$B$3 * 2)</f>
        <v>0</v>
      </c>
      <c r="G100" s="12">
        <f>F100 / 'Reality Constants'!$B$4</f>
        <v>540.0762447</v>
      </c>
      <c r="H100" s="12">
        <f>F100 / 'Reality Constants'!$B$5</f>
        <v>0</v>
      </c>
      <c r="I100" s="13">
        <f t="array" ref="I100">IFERROR(INDEX(all_stable_isotopes_complete_no!A:E, MATCH(B100, all_stable_isotopes_complete_no!B:B, 0), 5),"")</f>
        <v>150</v>
      </c>
      <c r="J100" s="12">
        <f t="shared" si="1"/>
        <v>0</v>
      </c>
      <c r="K100" s="12">
        <f t="shared" si="2"/>
        <v>0</v>
      </c>
    </row>
    <row r="101" ht="22.5" customHeight="1">
      <c r="A101" s="17" t="s">
        <v>164</v>
      </c>
      <c r="B101" s="17" t="s">
        <v>570</v>
      </c>
      <c r="C101" s="18">
        <v>83.913428</v>
      </c>
      <c r="D101" s="18">
        <v>0.56</v>
      </c>
      <c r="E101" s="12">
        <f>C101*'Reality Constants'!$B$2</f>
        <v>0</v>
      </c>
      <c r="F101" s="12">
        <f>E101 * ('Reality Constants'!$B$3 * 2)</f>
        <v>0</v>
      </c>
      <c r="G101" s="12">
        <f>F101 / 'Reality Constants'!$B$4</f>
        <v>521.4598388</v>
      </c>
      <c r="H101" s="12">
        <f>F101 / 'Reality Constants'!$B$5</f>
        <v>0</v>
      </c>
      <c r="I101" s="13">
        <f t="array" ref="I101">IFERROR(INDEX(all_stable_isotopes_complete_no!A:E, MATCH(B101, all_stable_isotopes_complete_no!B:B, 0), 5),"")</f>
        <v>8.5</v>
      </c>
      <c r="J101" s="12">
        <f t="shared" si="1"/>
        <v>0</v>
      </c>
      <c r="K101" s="12">
        <f t="shared" si="2"/>
        <v>0</v>
      </c>
    </row>
    <row r="102" ht="22.5" customHeight="1">
      <c r="A102" s="17" t="s">
        <v>164</v>
      </c>
      <c r="B102" s="17" t="s">
        <v>571</v>
      </c>
      <c r="C102" s="18">
        <v>85.909273</v>
      </c>
      <c r="D102" s="18">
        <v>9.86</v>
      </c>
      <c r="E102" s="12">
        <f>C102*'Reality Constants'!$B$2</f>
        <v>0</v>
      </c>
      <c r="F102" s="12">
        <f>E102 * ('Reality Constants'!$B$3 * 2)</f>
        <v>0</v>
      </c>
      <c r="G102" s="12">
        <f>F102 / 'Reality Constants'!$B$4</f>
        <v>533.862538</v>
      </c>
      <c r="H102" s="12">
        <f>F102 / 'Reality Constants'!$B$5</f>
        <v>0</v>
      </c>
      <c r="I102" s="13">
        <f t="array" ref="I102">IFERROR(INDEX(all_stable_isotopes_complete_no!A:E, MATCH(B102, all_stable_isotopes_complete_no!B:B, 0), 5),"")</f>
        <v>8.5</v>
      </c>
      <c r="J102" s="12">
        <f t="shared" si="1"/>
        <v>0</v>
      </c>
      <c r="K102" s="12">
        <f t="shared" si="2"/>
        <v>0</v>
      </c>
    </row>
    <row r="103" ht="22.5" customHeight="1">
      <c r="A103" s="17" t="s">
        <v>164</v>
      </c>
      <c r="B103" s="17" t="s">
        <v>572</v>
      </c>
      <c r="C103" s="18">
        <v>86.908902</v>
      </c>
      <c r="D103" s="18">
        <v>7.0</v>
      </c>
      <c r="E103" s="12">
        <f>C103*'Reality Constants'!$B$2</f>
        <v>0</v>
      </c>
      <c r="F103" s="12">
        <f>E103 * ('Reality Constants'!$B$3 * 2)</f>
        <v>0</v>
      </c>
      <c r="G103" s="12">
        <f>F103 / 'Reality Constants'!$B$4</f>
        <v>540.0744923</v>
      </c>
      <c r="H103" s="12">
        <f>F103 / 'Reality Constants'!$B$5</f>
        <v>0</v>
      </c>
      <c r="I103" s="13">
        <f t="array" ref="I103">IFERROR(INDEX(all_stable_isotopes_complete_no!A:E, MATCH(B103, all_stable_isotopes_complete_no!B:B, 0), 5),"")</f>
        <v>8.5</v>
      </c>
      <c r="J103" s="12">
        <f t="shared" si="1"/>
        <v>0</v>
      </c>
      <c r="K103" s="12">
        <f t="shared" si="2"/>
        <v>0</v>
      </c>
    </row>
    <row r="104" ht="22.5" customHeight="1">
      <c r="A104" s="17" t="s">
        <v>164</v>
      </c>
      <c r="B104" s="17" t="s">
        <v>573</v>
      </c>
      <c r="C104" s="18">
        <v>87.905625</v>
      </c>
      <c r="D104" s="18">
        <v>82.58</v>
      </c>
      <c r="E104" s="12">
        <f>C104*'Reality Constants'!$B$2</f>
        <v>0</v>
      </c>
      <c r="F104" s="12">
        <f>E104 * ('Reality Constants'!$B$3 * 2)</f>
        <v>0</v>
      </c>
      <c r="G104" s="12">
        <f>F104 / 'Reality Constants'!$B$4</f>
        <v>546.2683879</v>
      </c>
      <c r="H104" s="12">
        <f>F104 / 'Reality Constants'!$B$5</f>
        <v>0</v>
      </c>
      <c r="I104" s="13">
        <f t="array" ref="I104">IFERROR(INDEX(all_stable_isotopes_complete_no!A:E, MATCH(B104, all_stable_isotopes_complete_no!B:B, 0), 5),"")</f>
        <v>8.5</v>
      </c>
      <c r="J104" s="12">
        <f t="shared" si="1"/>
        <v>0</v>
      </c>
      <c r="K104" s="12">
        <f t="shared" si="2"/>
        <v>0</v>
      </c>
    </row>
    <row r="105" ht="22.5" customHeight="1">
      <c r="A105" s="17" t="s">
        <v>173</v>
      </c>
      <c r="B105" s="17" t="s">
        <v>574</v>
      </c>
      <c r="C105" s="18">
        <v>88.905856</v>
      </c>
      <c r="D105" s="18">
        <v>100.0</v>
      </c>
      <c r="E105" s="12">
        <f>C105*'Reality Constants'!$B$2</f>
        <v>0</v>
      </c>
      <c r="F105" s="12">
        <f>E105 * ('Reality Constants'!$B$3 * 2)</f>
        <v>0</v>
      </c>
      <c r="G105" s="12">
        <f>F105 / 'Reality Constants'!$B$4</f>
        <v>552.4840832</v>
      </c>
      <c r="H105" s="12">
        <f>F105 / 'Reality Constants'!$B$5</f>
        <v>0</v>
      </c>
      <c r="I105" s="13">
        <f t="array" ref="I105">IFERROR(INDEX(all_stable_isotopes_complete_no!A:E, MATCH(B105, all_stable_isotopes_complete_no!B:B, 0), 5),"")</f>
        <v>29.29</v>
      </c>
      <c r="J105" s="12">
        <f t="shared" si="1"/>
        <v>0</v>
      </c>
      <c r="K105" s="12">
        <f t="shared" si="2"/>
        <v>0</v>
      </c>
    </row>
    <row r="106" ht="22.5" customHeight="1">
      <c r="A106" s="17" t="s">
        <v>175</v>
      </c>
      <c r="B106" s="17" t="s">
        <v>575</v>
      </c>
      <c r="C106" s="18">
        <v>89.904708</v>
      </c>
      <c r="D106" s="18">
        <v>51.45</v>
      </c>
      <c r="E106" s="12">
        <f>C106*'Reality Constants'!$B$2</f>
        <v>0</v>
      </c>
      <c r="F106" s="12">
        <f>E106 * ('Reality Constants'!$B$3 * 2)</f>
        <v>0</v>
      </c>
      <c r="G106" s="12">
        <f>F106 / 'Reality Constants'!$B$4</f>
        <v>558.691209</v>
      </c>
      <c r="H106" s="12">
        <f>F106 / 'Reality Constants'!$B$5</f>
        <v>0</v>
      </c>
      <c r="I106" s="13">
        <f t="array" ref="I106">IFERROR(INDEX(all_stable_isotopes_complete_no!A:E, MATCH(B106, all_stable_isotopes_complete_no!B:B, 0), 5),"")</f>
        <v>39</v>
      </c>
      <c r="J106" s="12">
        <f t="shared" si="1"/>
        <v>0</v>
      </c>
      <c r="K106" s="12">
        <f t="shared" si="2"/>
        <v>0</v>
      </c>
    </row>
    <row r="107" ht="22.5" customHeight="1">
      <c r="A107" s="17" t="s">
        <v>175</v>
      </c>
      <c r="B107" s="17" t="s">
        <v>576</v>
      </c>
      <c r="C107" s="18">
        <v>90.905645</v>
      </c>
      <c r="D107" s="18">
        <v>11.27</v>
      </c>
      <c r="E107" s="12">
        <f>C107*'Reality Constants'!$B$2</f>
        <v>0</v>
      </c>
      <c r="F107" s="12">
        <f>E107 * ('Reality Constants'!$B$3 * 2)</f>
        <v>0</v>
      </c>
      <c r="G107" s="12">
        <f>F107 / 'Reality Constants'!$B$4</f>
        <v>564.9112915</v>
      </c>
      <c r="H107" s="12">
        <f>F107 / 'Reality Constants'!$B$5</f>
        <v>0</v>
      </c>
      <c r="I107" s="13">
        <f t="array" ref="I107">IFERROR(INDEX(all_stable_isotopes_complete_no!A:E, MATCH(B107, all_stable_isotopes_complete_no!B:B, 0), 5),"")</f>
        <v>39</v>
      </c>
      <c r="J107" s="12">
        <f t="shared" si="1"/>
        <v>0</v>
      </c>
      <c r="K107" s="12">
        <f t="shared" si="2"/>
        <v>0</v>
      </c>
    </row>
    <row r="108" ht="22.5" customHeight="1">
      <c r="A108" s="17" t="s">
        <v>175</v>
      </c>
      <c r="B108" s="17" t="s">
        <v>577</v>
      </c>
      <c r="C108" s="18">
        <v>91.905039</v>
      </c>
      <c r="D108" s="18">
        <v>17.17</v>
      </c>
      <c r="E108" s="12">
        <f>C108*'Reality Constants'!$B$2</f>
        <v>0</v>
      </c>
      <c r="F108" s="12">
        <f>E108 * ('Reality Constants'!$B$3 * 2)</f>
        <v>0</v>
      </c>
      <c r="G108" s="12">
        <f>F108 / 'Reality Constants'!$B$4</f>
        <v>571.1217854</v>
      </c>
      <c r="H108" s="12">
        <f>F108 / 'Reality Constants'!$B$5</f>
        <v>0</v>
      </c>
      <c r="I108" s="13">
        <f t="array" ref="I108">IFERROR(INDEX(all_stable_isotopes_complete_no!A:E, MATCH(B108, all_stable_isotopes_complete_no!B:B, 0), 5),"")</f>
        <v>39</v>
      </c>
      <c r="J108" s="12">
        <f t="shared" si="1"/>
        <v>0</v>
      </c>
      <c r="K108" s="12">
        <f t="shared" si="2"/>
        <v>0</v>
      </c>
    </row>
    <row r="109" ht="22.5" customHeight="1">
      <c r="A109" s="17" t="s">
        <v>175</v>
      </c>
      <c r="B109" s="17" t="s">
        <v>578</v>
      </c>
      <c r="C109" s="18">
        <v>93.906319</v>
      </c>
      <c r="D109" s="18">
        <v>17.33</v>
      </c>
      <c r="E109" s="12">
        <f>C109*'Reality Constants'!$B$2</f>
        <v>0</v>
      </c>
      <c r="F109" s="12">
        <f>E109 * ('Reality Constants'!$B$3 * 2)</f>
        <v>0</v>
      </c>
      <c r="G109" s="12">
        <f>F109 / 'Reality Constants'!$B$4</f>
        <v>583.5582592</v>
      </c>
      <c r="H109" s="12">
        <f>F109 / 'Reality Constants'!$B$5</f>
        <v>0</v>
      </c>
      <c r="I109" s="13">
        <f t="array" ref="I109">IFERROR(INDEX(all_stable_isotopes_complete_no!A:E, MATCH(B109, all_stable_isotopes_complete_no!B:B, 0), 5),"")</f>
        <v>39</v>
      </c>
      <c r="J109" s="12">
        <f t="shared" si="1"/>
        <v>0</v>
      </c>
      <c r="K109" s="12">
        <f t="shared" si="2"/>
        <v>0</v>
      </c>
    </row>
    <row r="110" ht="22.5" customHeight="1">
      <c r="A110" s="17" t="s">
        <v>175</v>
      </c>
      <c r="B110" s="17" t="s">
        <v>579</v>
      </c>
      <c r="C110" s="18">
        <v>95.908272</v>
      </c>
      <c r="D110" s="18">
        <v>2.78</v>
      </c>
      <c r="E110" s="12">
        <f>C110*'Reality Constants'!$B$2</f>
        <v>0</v>
      </c>
      <c r="F110" s="12">
        <f>E110 * ('Reality Constants'!$B$3 * 2)</f>
        <v>0</v>
      </c>
      <c r="G110" s="12">
        <f>F110 / 'Reality Constants'!$B$4</f>
        <v>595.9989151</v>
      </c>
      <c r="H110" s="12">
        <f>F110 / 'Reality Constants'!$B$5</f>
        <v>0</v>
      </c>
      <c r="I110" s="13">
        <f t="array" ref="I110">IFERROR(INDEX(all_stable_isotopes_complete_no!A:E, MATCH(B110, all_stable_isotopes_complete_no!B:B, 0), 5),"")</f>
        <v>39</v>
      </c>
      <c r="J110" s="12">
        <f t="shared" si="1"/>
        <v>0</v>
      </c>
      <c r="K110" s="12">
        <f t="shared" si="2"/>
        <v>0</v>
      </c>
    </row>
    <row r="111" ht="22.5" customHeight="1">
      <c r="A111" s="17" t="s">
        <v>181</v>
      </c>
      <c r="B111" s="17" t="s">
        <v>580</v>
      </c>
      <c r="C111" s="18">
        <v>92.906378</v>
      </c>
      <c r="D111" s="18">
        <v>100.0</v>
      </c>
      <c r="E111" s="12">
        <f>C111*'Reality Constants'!$B$2</f>
        <v>0</v>
      </c>
      <c r="F111" s="12">
        <f>E111 * ('Reality Constants'!$B$3 * 2)</f>
        <v>0</v>
      </c>
      <c r="G111" s="12">
        <f>F111 / 'Reality Constants'!$B$4</f>
        <v>577.344366</v>
      </c>
      <c r="H111" s="12">
        <f>F111 / 'Reality Constants'!$B$5</f>
        <v>0</v>
      </c>
      <c r="I111" s="13">
        <f t="array" ref="I111">IFERROR(INDEX(all_stable_isotopes_complete_no!A:E, MATCH(B111, all_stable_isotopes_complete_no!B:B, 0), 5),"")</f>
        <v>45</v>
      </c>
      <c r="J111" s="12">
        <f t="shared" si="1"/>
        <v>0</v>
      </c>
      <c r="K111" s="12">
        <f t="shared" si="2"/>
        <v>0</v>
      </c>
    </row>
    <row r="112" ht="22.5" customHeight="1">
      <c r="A112" s="17" t="s">
        <v>179</v>
      </c>
      <c r="B112" s="17" t="s">
        <v>581</v>
      </c>
      <c r="C112" s="18">
        <v>91.906809</v>
      </c>
      <c r="D112" s="18">
        <v>14.84</v>
      </c>
      <c r="E112" s="12">
        <f>C112*'Reality Constants'!$B$2</f>
        <v>0</v>
      </c>
      <c r="F112" s="12">
        <f>E112 * ('Reality Constants'!$B$3 * 2)</f>
        <v>0</v>
      </c>
      <c r="G112" s="12">
        <f>F112 / 'Reality Constants'!$B$4</f>
        <v>571.1327846</v>
      </c>
      <c r="H112" s="12">
        <f>F112 / 'Reality Constants'!$B$5</f>
        <v>0</v>
      </c>
      <c r="I112" s="13">
        <f t="array" ref="I112">IFERROR(INDEX(all_stable_isotopes_complete_no!A:E, MATCH(B112, all_stable_isotopes_complete_no!B:B, 0), 5),"")</f>
        <v>38</v>
      </c>
      <c r="J112" s="12">
        <f t="shared" si="1"/>
        <v>0</v>
      </c>
      <c r="K112" s="12">
        <f t="shared" si="2"/>
        <v>0</v>
      </c>
    </row>
    <row r="113" ht="22.5" customHeight="1">
      <c r="A113" s="17" t="s">
        <v>179</v>
      </c>
      <c r="B113" s="17" t="s">
        <v>582</v>
      </c>
      <c r="C113" s="18">
        <v>93.905086</v>
      </c>
      <c r="D113" s="18">
        <v>9.25</v>
      </c>
      <c r="E113" s="12">
        <f>C113*'Reality Constants'!$B$2</f>
        <v>0</v>
      </c>
      <c r="F113" s="12">
        <f>E113 * ('Reality Constants'!$B$3 * 2)</f>
        <v>0</v>
      </c>
      <c r="G113" s="12">
        <f>F113 / 'Reality Constants'!$B$4</f>
        <v>583.550597</v>
      </c>
      <c r="H113" s="12">
        <f>F113 / 'Reality Constants'!$B$5</f>
        <v>0</v>
      </c>
      <c r="I113" s="13">
        <f t="array" ref="I113">IFERROR(INDEX(all_stable_isotopes_complete_no!A:E, MATCH(B113, all_stable_isotopes_complete_no!B:B, 0), 5),"")</f>
        <v>38</v>
      </c>
      <c r="J113" s="12">
        <f t="shared" si="1"/>
        <v>0</v>
      </c>
      <c r="K113" s="12">
        <f t="shared" si="2"/>
        <v>0</v>
      </c>
    </row>
    <row r="114" ht="22.5" customHeight="1">
      <c r="A114" s="17" t="s">
        <v>179</v>
      </c>
      <c r="B114" s="17" t="s">
        <v>583</v>
      </c>
      <c r="C114" s="18">
        <v>94.905838</v>
      </c>
      <c r="D114" s="18">
        <v>15.92</v>
      </c>
      <c r="E114" s="12">
        <f>C114*'Reality Constants'!$B$2</f>
        <v>0</v>
      </c>
      <c r="F114" s="12">
        <f>E114 * ('Reality Constants'!$B$3 * 2)</f>
        <v>0</v>
      </c>
      <c r="G114" s="12">
        <f>F114 / 'Reality Constants'!$B$4</f>
        <v>589.7695299</v>
      </c>
      <c r="H114" s="12">
        <f>F114 / 'Reality Constants'!$B$5</f>
        <v>0</v>
      </c>
      <c r="I114" s="13">
        <f t="array" ref="I114">IFERROR(INDEX(all_stable_isotopes_complete_no!A:E, MATCH(B114, all_stable_isotopes_complete_no!B:B, 0), 5),"")</f>
        <v>38</v>
      </c>
      <c r="J114" s="12">
        <f t="shared" si="1"/>
        <v>0</v>
      </c>
      <c r="K114" s="12">
        <f t="shared" si="2"/>
        <v>0</v>
      </c>
    </row>
    <row r="115" ht="22.5" customHeight="1">
      <c r="A115" s="17" t="s">
        <v>179</v>
      </c>
      <c r="B115" s="17" t="s">
        <v>584</v>
      </c>
      <c r="C115" s="18">
        <v>95.904676</v>
      </c>
      <c r="D115" s="18">
        <v>16.68</v>
      </c>
      <c r="E115" s="12">
        <f>C115*'Reality Constants'!$B$2</f>
        <v>0</v>
      </c>
      <c r="F115" s="12">
        <f>E115 * ('Reality Constants'!$B$3 * 2)</f>
        <v>0</v>
      </c>
      <c r="G115" s="12">
        <f>F115 / 'Reality Constants'!$B$4</f>
        <v>595.9765687</v>
      </c>
      <c r="H115" s="12">
        <f>F115 / 'Reality Constants'!$B$5</f>
        <v>0</v>
      </c>
      <c r="I115" s="13">
        <f t="array" ref="I115">IFERROR(INDEX(all_stable_isotopes_complete_no!A:E, MATCH(B115, all_stable_isotopes_complete_no!B:B, 0), 5),"")</f>
        <v>38</v>
      </c>
      <c r="J115" s="12">
        <f t="shared" si="1"/>
        <v>0</v>
      </c>
      <c r="K115" s="12">
        <f t="shared" si="2"/>
        <v>0</v>
      </c>
    </row>
    <row r="116" ht="22.5" customHeight="1">
      <c r="A116" s="17" t="s">
        <v>179</v>
      </c>
      <c r="B116" s="17" t="s">
        <v>585</v>
      </c>
      <c r="C116" s="18">
        <v>96.906018</v>
      </c>
      <c r="D116" s="18">
        <v>9.55</v>
      </c>
      <c r="E116" s="12">
        <f>C116*'Reality Constants'!$B$2</f>
        <v>0</v>
      </c>
      <c r="F116" s="12">
        <f>E116 * ('Reality Constants'!$B$3 * 2)</f>
        <v>0</v>
      </c>
      <c r="G116" s="12">
        <f>F116 / 'Reality Constants'!$B$4</f>
        <v>602.1991679</v>
      </c>
      <c r="H116" s="12">
        <f>F116 / 'Reality Constants'!$B$5</f>
        <v>0</v>
      </c>
      <c r="I116" s="13">
        <f t="array" ref="I116">IFERROR(INDEX(all_stable_isotopes_complete_no!A:E, MATCH(B116, all_stable_isotopes_complete_no!B:B, 0), 5),"")</f>
        <v>38</v>
      </c>
      <c r="J116" s="12">
        <f t="shared" si="1"/>
        <v>0</v>
      </c>
      <c r="K116" s="12">
        <f t="shared" si="2"/>
        <v>0</v>
      </c>
    </row>
    <row r="117" ht="22.5" customHeight="1">
      <c r="A117" s="17" t="s">
        <v>179</v>
      </c>
      <c r="B117" s="17" t="s">
        <v>586</v>
      </c>
      <c r="C117" s="18">
        <v>97.905405</v>
      </c>
      <c r="D117" s="18">
        <v>24.13</v>
      </c>
      <c r="E117" s="12">
        <f>C117*'Reality Constants'!$B$2</f>
        <v>0</v>
      </c>
      <c r="F117" s="12">
        <f>E117 * ('Reality Constants'!$B$3 * 2)</f>
        <v>0</v>
      </c>
      <c r="G117" s="12">
        <f>F117 / 'Reality Constants'!$B$4</f>
        <v>608.4096184</v>
      </c>
      <c r="H117" s="12">
        <f>F117 / 'Reality Constants'!$B$5</f>
        <v>0</v>
      </c>
      <c r="I117" s="13">
        <f t="array" ref="I117">IFERROR(INDEX(all_stable_isotopes_complete_no!A:E, MATCH(B117, all_stable_isotopes_complete_no!B:B, 0), 5),"")</f>
        <v>38</v>
      </c>
      <c r="J117" s="12">
        <f t="shared" si="1"/>
        <v>0</v>
      </c>
      <c r="K117" s="12">
        <f t="shared" si="2"/>
        <v>0</v>
      </c>
    </row>
    <row r="118" ht="22.5" customHeight="1">
      <c r="A118" s="17" t="s">
        <v>179</v>
      </c>
      <c r="B118" s="17" t="s">
        <v>587</v>
      </c>
      <c r="C118" s="18">
        <v>99.907473</v>
      </c>
      <c r="D118" s="18">
        <v>9.63</v>
      </c>
      <c r="E118" s="12">
        <f>C118*'Reality Constants'!$B$2</f>
        <v>0</v>
      </c>
      <c r="F118" s="12">
        <f>E118 * ('Reality Constants'!$B$3 * 2)</f>
        <v>0</v>
      </c>
      <c r="G118" s="12">
        <f>F118 / 'Reality Constants'!$B$4</f>
        <v>620.850989</v>
      </c>
      <c r="H118" s="12">
        <f>F118 / 'Reality Constants'!$B$5</f>
        <v>0</v>
      </c>
      <c r="I118" s="13">
        <f t="array" ref="I118">IFERROR(INDEX(all_stable_isotopes_complete_no!A:E, MATCH(B118, all_stable_isotopes_complete_no!B:B, 0), 5),"")</f>
        <v>38</v>
      </c>
      <c r="J118" s="12">
        <f t="shared" si="1"/>
        <v>0</v>
      </c>
      <c r="K118" s="12">
        <f t="shared" si="2"/>
        <v>0</v>
      </c>
    </row>
    <row r="119" ht="22.5" customHeight="1">
      <c r="A119" s="17" t="s">
        <v>187</v>
      </c>
      <c r="B119" s="17" t="s">
        <v>588</v>
      </c>
      <c r="C119" s="18">
        <v>95.907596</v>
      </c>
      <c r="D119" s="18">
        <v>5.52</v>
      </c>
      <c r="E119" s="12">
        <f>C119*'Reality Constants'!$B$2</f>
        <v>0</v>
      </c>
      <c r="F119" s="12">
        <f>E119 * ('Reality Constants'!$B$3 * 2)</f>
        <v>0</v>
      </c>
      <c r="G119" s="12">
        <f>F119 / 'Reality Constants'!$B$4</f>
        <v>595.9947143</v>
      </c>
      <c r="H119" s="12">
        <f>F119 / 'Reality Constants'!$B$5</f>
        <v>0</v>
      </c>
      <c r="I119" s="13">
        <f t="array" ref="I119">IFERROR(INDEX(all_stable_isotopes_complete_no!A:E, MATCH(B119, all_stable_isotopes_complete_no!B:B, 0), 5),"")</f>
        <v>15500</v>
      </c>
      <c r="J119" s="12">
        <f t="shared" si="1"/>
        <v>0</v>
      </c>
      <c r="K119" s="12">
        <f t="shared" si="2"/>
        <v>0</v>
      </c>
    </row>
    <row r="120" ht="22.5" customHeight="1">
      <c r="A120" s="17" t="s">
        <v>187</v>
      </c>
      <c r="B120" s="17" t="s">
        <v>589</v>
      </c>
      <c r="C120" s="18">
        <v>97.905287</v>
      </c>
      <c r="D120" s="18">
        <v>1.88</v>
      </c>
      <c r="E120" s="12">
        <f>C120*'Reality Constants'!$B$2</f>
        <v>0</v>
      </c>
      <c r="F120" s="12">
        <f>E120 * ('Reality Constants'!$B$3 * 2)</f>
        <v>0</v>
      </c>
      <c r="G120" s="12">
        <f>F120 / 'Reality Constants'!$B$4</f>
        <v>608.4088851</v>
      </c>
      <c r="H120" s="12">
        <f>F120 / 'Reality Constants'!$B$5</f>
        <v>0</v>
      </c>
      <c r="I120" s="13">
        <f t="array" ref="I120">IFERROR(INDEX(all_stable_isotopes_complete_no!A:E, MATCH(B120, all_stable_isotopes_complete_no!B:B, 0), 5),"")</f>
        <v>15500</v>
      </c>
      <c r="J120" s="12">
        <f t="shared" si="1"/>
        <v>0</v>
      </c>
      <c r="K120" s="12">
        <f t="shared" si="2"/>
        <v>0</v>
      </c>
    </row>
    <row r="121" ht="22.5" customHeight="1">
      <c r="A121" s="17" t="s">
        <v>187</v>
      </c>
      <c r="B121" s="17" t="s">
        <v>590</v>
      </c>
      <c r="C121" s="18">
        <v>98.905937</v>
      </c>
      <c r="D121" s="18">
        <v>12.7</v>
      </c>
      <c r="E121" s="12">
        <f>C121*'Reality Constants'!$B$2</f>
        <v>0</v>
      </c>
      <c r="F121" s="12">
        <f>E121 * ('Reality Constants'!$B$3 * 2)</f>
        <v>0</v>
      </c>
      <c r="G121" s="12">
        <f>F121 / 'Reality Constants'!$B$4</f>
        <v>614.6271841</v>
      </c>
      <c r="H121" s="12">
        <f>F121 / 'Reality Constants'!$B$5</f>
        <v>0</v>
      </c>
      <c r="I121" s="13">
        <f t="array" ref="I121">IFERROR(INDEX(all_stable_isotopes_complete_no!A:E, MATCH(B121, all_stable_isotopes_complete_no!B:B, 0), 5),"")</f>
        <v>15500</v>
      </c>
      <c r="J121" s="12">
        <f t="shared" si="1"/>
        <v>0</v>
      </c>
      <c r="K121" s="12">
        <f t="shared" si="2"/>
        <v>0</v>
      </c>
    </row>
    <row r="122" ht="22.5" customHeight="1">
      <c r="A122" s="17" t="s">
        <v>187</v>
      </c>
      <c r="B122" s="17" t="s">
        <v>591</v>
      </c>
      <c r="C122" s="18">
        <v>99.904218</v>
      </c>
      <c r="D122" s="18">
        <v>12.6</v>
      </c>
      <c r="E122" s="12">
        <f>C122*'Reality Constants'!$B$2</f>
        <v>0</v>
      </c>
      <c r="F122" s="12">
        <f>E122 * ('Reality Constants'!$B$3 * 2)</f>
        <v>0</v>
      </c>
      <c r="G122" s="12">
        <f>F122 / 'Reality Constants'!$B$4</f>
        <v>620.8307616</v>
      </c>
      <c r="H122" s="12">
        <f>F122 / 'Reality Constants'!$B$5</f>
        <v>0</v>
      </c>
      <c r="I122" s="13">
        <f t="array" ref="I122">IFERROR(INDEX(all_stable_isotopes_complete_no!A:E, MATCH(B122, all_stable_isotopes_complete_no!B:B, 0), 5),"")</f>
        <v>15500</v>
      </c>
      <c r="J122" s="12">
        <f t="shared" si="1"/>
        <v>0</v>
      </c>
      <c r="K122" s="12">
        <f t="shared" si="2"/>
        <v>0</v>
      </c>
    </row>
    <row r="123" ht="22.5" customHeight="1">
      <c r="A123" s="17" t="s">
        <v>187</v>
      </c>
      <c r="B123" s="17" t="s">
        <v>592</v>
      </c>
      <c r="C123" s="18">
        <v>100.905581</v>
      </c>
      <c r="D123" s="18">
        <v>17.0</v>
      </c>
      <c r="E123" s="12">
        <f>C123*'Reality Constants'!$B$2</f>
        <v>0</v>
      </c>
      <c r="F123" s="12">
        <f>E123 * ('Reality Constants'!$B$3 * 2)</f>
        <v>0</v>
      </c>
      <c r="G123" s="12">
        <f>F123 / 'Reality Constants'!$B$4</f>
        <v>627.0534913</v>
      </c>
      <c r="H123" s="12">
        <f>F123 / 'Reality Constants'!$B$5</f>
        <v>0</v>
      </c>
      <c r="I123" s="13">
        <f t="array" ref="I123">IFERROR(INDEX(all_stable_isotopes_complete_no!A:E, MATCH(B123, all_stable_isotopes_complete_no!B:B, 0), 5),"")</f>
        <v>15500</v>
      </c>
      <c r="J123" s="12">
        <f t="shared" si="1"/>
        <v>0</v>
      </c>
      <c r="K123" s="12">
        <f t="shared" si="2"/>
        <v>0</v>
      </c>
    </row>
    <row r="124" ht="22.5" customHeight="1">
      <c r="A124" s="17" t="s">
        <v>187</v>
      </c>
      <c r="B124" s="17" t="s">
        <v>593</v>
      </c>
      <c r="C124" s="18">
        <v>101.904348</v>
      </c>
      <c r="D124" s="18">
        <v>31.6</v>
      </c>
      <c r="E124" s="12">
        <f>C124*'Reality Constants'!$B$2</f>
        <v>0</v>
      </c>
      <c r="F124" s="12">
        <f>E124 * ('Reality Constants'!$B$3 * 2)</f>
        <v>0</v>
      </c>
      <c r="G124" s="12">
        <f>F124 / 'Reality Constants'!$B$4</f>
        <v>633.2600889</v>
      </c>
      <c r="H124" s="12">
        <f>F124 / 'Reality Constants'!$B$5</f>
        <v>0</v>
      </c>
      <c r="I124" s="13">
        <f t="array" ref="I124">IFERROR(INDEX(all_stable_isotopes_complete_no!A:E, MATCH(B124, all_stable_isotopes_complete_no!B:B, 0), 5),"")</f>
        <v>15500</v>
      </c>
      <c r="J124" s="12">
        <f t="shared" si="1"/>
        <v>0</v>
      </c>
      <c r="K124" s="12">
        <f t="shared" si="2"/>
        <v>0</v>
      </c>
    </row>
    <row r="125" ht="22.5" customHeight="1">
      <c r="A125" s="17" t="s">
        <v>187</v>
      </c>
      <c r="B125" s="17" t="s">
        <v>594</v>
      </c>
      <c r="C125" s="18">
        <v>103.905422</v>
      </c>
      <c r="D125" s="18">
        <v>18.7</v>
      </c>
      <c r="E125" s="12">
        <f>C125*'Reality Constants'!$B$2</f>
        <v>0</v>
      </c>
      <c r="F125" s="12">
        <f>E125 * ('Reality Constants'!$B$3 * 2)</f>
        <v>0</v>
      </c>
      <c r="G125" s="12">
        <f>F125 / 'Reality Constants'!$B$4</f>
        <v>645.6952826</v>
      </c>
      <c r="H125" s="12">
        <f>F125 / 'Reality Constants'!$B$5</f>
        <v>0</v>
      </c>
      <c r="I125" s="13">
        <f t="array" ref="I125">IFERROR(INDEX(all_stable_isotopes_complete_no!A:E, MATCH(B125, all_stable_isotopes_complete_no!B:B, 0), 5),"")</f>
        <v>15500</v>
      </c>
      <c r="J125" s="12">
        <f t="shared" si="1"/>
        <v>0</v>
      </c>
      <c r="K125" s="12">
        <f t="shared" si="2"/>
        <v>0</v>
      </c>
    </row>
    <row r="126" ht="22.5" customHeight="1">
      <c r="A126" s="17" t="s">
        <v>200</v>
      </c>
      <c r="B126" s="17" t="s">
        <v>595</v>
      </c>
      <c r="C126" s="18">
        <v>102.905503</v>
      </c>
      <c r="D126" s="18">
        <v>100.0</v>
      </c>
      <c r="E126" s="12">
        <f>C126*'Reality Constants'!$B$2</f>
        <v>0</v>
      </c>
      <c r="F126" s="12">
        <f>E126 * ('Reality Constants'!$B$3 * 2)</f>
        <v>0</v>
      </c>
      <c r="G126" s="12">
        <f>F126 / 'Reality Constants'!$B$4</f>
        <v>639.4815261</v>
      </c>
      <c r="H126" s="12">
        <f>F126 / 'Reality Constants'!$B$5</f>
        <v>0</v>
      </c>
      <c r="I126" s="13">
        <f t="array" ref="I126">IFERROR(INDEX(all_stable_isotopes_complete_no!A:E, MATCH(B126, all_stable_isotopes_complete_no!B:B, 0), 5),"")</f>
        <v>252.55</v>
      </c>
      <c r="J126" s="12">
        <f t="shared" si="1"/>
        <v>0</v>
      </c>
      <c r="K126" s="12">
        <f t="shared" si="2"/>
        <v>0</v>
      </c>
    </row>
    <row r="127" ht="22.5" customHeight="1">
      <c r="A127" s="17" t="s">
        <v>198</v>
      </c>
      <c r="B127" s="17" t="s">
        <v>596</v>
      </c>
      <c r="C127" s="18">
        <v>101.905609</v>
      </c>
      <c r="D127" s="18">
        <v>1.02</v>
      </c>
      <c r="E127" s="12">
        <f>C127*'Reality Constants'!$B$2</f>
        <v>0</v>
      </c>
      <c r="F127" s="12">
        <f>E127 * ('Reality Constants'!$B$3 * 2)</f>
        <v>0</v>
      </c>
      <c r="G127" s="12">
        <f>F127 / 'Reality Constants'!$B$4</f>
        <v>633.2679251</v>
      </c>
      <c r="H127" s="12">
        <f>F127 / 'Reality Constants'!$B$5</f>
        <v>0</v>
      </c>
      <c r="I127" s="13">
        <f t="array" ref="I127">IFERROR(INDEX(all_stable_isotopes_complete_no!A:E, MATCH(B127, all_stable_isotopes_complete_no!B:B, 0), 5),"")</f>
        <v>36.81</v>
      </c>
      <c r="J127" s="12">
        <f t="shared" si="1"/>
        <v>0</v>
      </c>
      <c r="K127" s="12">
        <f t="shared" si="2"/>
        <v>0</v>
      </c>
    </row>
    <row r="128" ht="22.5" customHeight="1">
      <c r="A128" s="17" t="s">
        <v>198</v>
      </c>
      <c r="B128" s="17" t="s">
        <v>597</v>
      </c>
      <c r="C128" s="18">
        <v>103.904026</v>
      </c>
      <c r="D128" s="18">
        <v>11.14</v>
      </c>
      <c r="E128" s="12">
        <f>C128*'Reality Constants'!$B$2</f>
        <v>0</v>
      </c>
      <c r="F128" s="12">
        <f>E128 * ('Reality Constants'!$B$3 * 2)</f>
        <v>0</v>
      </c>
      <c r="G128" s="12">
        <f>F128 / 'Reality Constants'!$B$4</f>
        <v>645.6866074</v>
      </c>
      <c r="H128" s="12">
        <f>F128 / 'Reality Constants'!$B$5</f>
        <v>0</v>
      </c>
      <c r="I128" s="13">
        <f t="array" ref="I128">IFERROR(INDEX(all_stable_isotopes_complete_no!A:E, MATCH(B128, all_stable_isotopes_complete_no!B:B, 0), 5),"")</f>
        <v>36.81</v>
      </c>
      <c r="J128" s="12">
        <f t="shared" si="1"/>
        <v>0</v>
      </c>
      <c r="K128" s="12">
        <f t="shared" si="2"/>
        <v>0</v>
      </c>
    </row>
    <row r="129" ht="22.5" customHeight="1">
      <c r="A129" s="17" t="s">
        <v>198</v>
      </c>
      <c r="B129" s="17" t="s">
        <v>598</v>
      </c>
      <c r="C129" s="18">
        <v>104.905075</v>
      </c>
      <c r="D129" s="18">
        <v>22.33</v>
      </c>
      <c r="E129" s="12">
        <f>C129*'Reality Constants'!$B$2</f>
        <v>0</v>
      </c>
      <c r="F129" s="12">
        <f>E129 * ('Reality Constants'!$B$3 * 2)</f>
        <v>0</v>
      </c>
      <c r="G129" s="12">
        <f>F129 / 'Reality Constants'!$B$4</f>
        <v>651.907386</v>
      </c>
      <c r="H129" s="12">
        <f>F129 / 'Reality Constants'!$B$5</f>
        <v>0</v>
      </c>
      <c r="I129" s="13">
        <f t="array" ref="I129">IFERROR(INDEX(all_stable_isotopes_complete_no!A:E, MATCH(B129, all_stable_isotopes_complete_no!B:B, 0), 5),"")</f>
        <v>36.81</v>
      </c>
      <c r="J129" s="12">
        <f t="shared" si="1"/>
        <v>0</v>
      </c>
      <c r="K129" s="12">
        <f t="shared" si="2"/>
        <v>0</v>
      </c>
    </row>
    <row r="130" ht="22.5" customHeight="1">
      <c r="A130" s="17" t="s">
        <v>198</v>
      </c>
      <c r="B130" s="17" t="s">
        <v>599</v>
      </c>
      <c r="C130" s="18">
        <v>105.903475</v>
      </c>
      <c r="D130" s="18">
        <v>27.33</v>
      </c>
      <c r="E130" s="12">
        <f>C130*'Reality Constants'!$B$2</f>
        <v>0</v>
      </c>
      <c r="F130" s="12">
        <f>E130 * ('Reality Constants'!$B$3 * 2)</f>
        <v>0</v>
      </c>
      <c r="G130" s="12">
        <f>F130 / 'Reality Constants'!$B$4</f>
        <v>658.1117029</v>
      </c>
      <c r="H130" s="12">
        <f>F130 / 'Reality Constants'!$B$5</f>
        <v>0</v>
      </c>
      <c r="I130" s="13">
        <f t="array" ref="I130">IFERROR(INDEX(all_stable_isotopes_complete_no!A:E, MATCH(B130, all_stable_isotopes_complete_no!B:B, 0), 5),"")</f>
        <v>36.81</v>
      </c>
      <c r="J130" s="12">
        <f t="shared" si="1"/>
        <v>0</v>
      </c>
      <c r="K130" s="12">
        <f t="shared" si="2"/>
        <v>0</v>
      </c>
    </row>
    <row r="131" ht="22.5" customHeight="1">
      <c r="A131" s="17" t="s">
        <v>198</v>
      </c>
      <c r="B131" s="17" t="s">
        <v>600</v>
      </c>
      <c r="C131" s="18">
        <v>107.903894</v>
      </c>
      <c r="D131" s="18">
        <v>26.46</v>
      </c>
      <c r="E131" s="12">
        <f>C131*'Reality Constants'!$B$2</f>
        <v>0</v>
      </c>
      <c r="F131" s="12">
        <f>E131 * ('Reality Constants'!$B$3 * 2)</f>
        <v>0</v>
      </c>
      <c r="G131" s="12">
        <f>F131 / 'Reality Constants'!$B$4</f>
        <v>670.5428262</v>
      </c>
      <c r="H131" s="12">
        <f>F131 / 'Reality Constants'!$B$5</f>
        <v>0</v>
      </c>
      <c r="I131" s="13">
        <f t="array" ref="I131">IFERROR(INDEX(all_stable_isotopes_complete_no!A:E, MATCH(B131, all_stable_isotopes_complete_no!B:B, 0), 5),"")</f>
        <v>36.81</v>
      </c>
      <c r="J131" s="12">
        <f t="shared" si="1"/>
        <v>0</v>
      </c>
      <c r="K131" s="12">
        <f t="shared" si="2"/>
        <v>0</v>
      </c>
    </row>
    <row r="132" ht="22.5" customHeight="1">
      <c r="A132" s="17" t="s">
        <v>198</v>
      </c>
      <c r="B132" s="17" t="s">
        <v>601</v>
      </c>
      <c r="C132" s="18">
        <v>109.905169</v>
      </c>
      <c r="D132" s="18">
        <v>11.72</v>
      </c>
      <c r="E132" s="12">
        <f>C132*'Reality Constants'!$B$2</f>
        <v>0</v>
      </c>
      <c r="F132" s="12">
        <f>E132 * ('Reality Constants'!$B$3 * 2)</f>
        <v>0</v>
      </c>
      <c r="G132" s="12">
        <f>F132 / 'Reality Constants'!$B$4</f>
        <v>682.9792689</v>
      </c>
      <c r="H132" s="12">
        <f>F132 / 'Reality Constants'!$B$5</f>
        <v>0</v>
      </c>
      <c r="I132" s="13">
        <f t="array" ref="I132">IFERROR(INDEX(all_stable_isotopes_complete_no!A:E, MATCH(B132, all_stable_isotopes_complete_no!B:B, 0), 5),"")</f>
        <v>36.81</v>
      </c>
      <c r="J132" s="12">
        <f t="shared" si="1"/>
        <v>0</v>
      </c>
      <c r="K132" s="12">
        <f t="shared" si="2"/>
        <v>0</v>
      </c>
    </row>
    <row r="133" ht="22.5" customHeight="1">
      <c r="A133" s="17" t="s">
        <v>208</v>
      </c>
      <c r="B133" s="17" t="s">
        <v>602</v>
      </c>
      <c r="C133" s="18">
        <v>106.905095</v>
      </c>
      <c r="D133" s="18">
        <v>51.839</v>
      </c>
      <c r="E133" s="12">
        <f>C133*'Reality Constants'!$B$2</f>
        <v>0</v>
      </c>
      <c r="F133" s="12">
        <f>E133 * ('Reality Constants'!$B$3 * 2)</f>
        <v>0</v>
      </c>
      <c r="G133" s="12">
        <f>F133 / 'Reality Constants'!$B$4</f>
        <v>664.3360298</v>
      </c>
      <c r="H133" s="12">
        <f>F133 / 'Reality Constants'!$B$5</f>
        <v>0</v>
      </c>
      <c r="I133" s="13">
        <f t="array" ref="I133">IFERROR(INDEX(all_stable_isotopes_complete_no!A:E, MATCH(B133, all_stable_isotopes_complete_no!B:B, 0), 5),"")</f>
        <v>1.68</v>
      </c>
      <c r="J133" s="12">
        <f t="shared" si="1"/>
        <v>0</v>
      </c>
      <c r="K133" s="12">
        <f t="shared" si="2"/>
        <v>0</v>
      </c>
    </row>
    <row r="134" ht="22.5" customHeight="1">
      <c r="A134" s="17" t="s">
        <v>208</v>
      </c>
      <c r="B134" s="17" t="s">
        <v>603</v>
      </c>
      <c r="C134" s="18">
        <v>108.904754</v>
      </c>
      <c r="D134" s="18">
        <v>48.161</v>
      </c>
      <c r="E134" s="12">
        <f>C134*'Reality Constants'!$B$2</f>
        <v>0</v>
      </c>
      <c r="F134" s="12">
        <f>E134 * ('Reality Constants'!$B$3 * 2)</f>
        <v>0</v>
      </c>
      <c r="G134" s="12">
        <f>F134 / 'Reality Constants'!$B$4</f>
        <v>676.7624302</v>
      </c>
      <c r="H134" s="12">
        <f>F134 / 'Reality Constants'!$B$5</f>
        <v>0</v>
      </c>
      <c r="I134" s="13">
        <f t="array" ref="I134">IFERROR(INDEX(all_stable_isotopes_complete_no!A:E, MATCH(B134, all_stable_isotopes_complete_no!B:B, 0), 5),"")</f>
        <v>1.68</v>
      </c>
      <c r="J134" s="12">
        <f t="shared" si="1"/>
        <v>0</v>
      </c>
      <c r="K134" s="12">
        <f t="shared" si="2"/>
        <v>0</v>
      </c>
    </row>
    <row r="135" ht="22.5" customHeight="1">
      <c r="A135" s="17" t="s">
        <v>206</v>
      </c>
      <c r="B135" s="17" t="s">
        <v>604</v>
      </c>
      <c r="C135" s="18">
        <v>105.906461</v>
      </c>
      <c r="D135" s="18">
        <v>1.25</v>
      </c>
      <c r="E135" s="12">
        <f>C135*'Reality Constants'!$B$2</f>
        <v>0</v>
      </c>
      <c r="F135" s="12">
        <f>E135 * ('Reality Constants'!$B$3 * 2)</f>
        <v>0</v>
      </c>
      <c r="G135" s="12">
        <f>F135 / 'Reality Constants'!$B$4</f>
        <v>658.1302587</v>
      </c>
      <c r="H135" s="12">
        <f>F135 / 'Reality Constants'!$B$5</f>
        <v>0</v>
      </c>
      <c r="I135" s="13">
        <f t="array" ref="I135">IFERROR(INDEX(all_stable_isotopes_complete_no!A:E, MATCH(B135, all_stable_isotopes_complete_no!B:B, 0), 5),"")</f>
        <v>4.5</v>
      </c>
      <c r="J135" s="12">
        <f t="shared" si="1"/>
        <v>0</v>
      </c>
      <c r="K135" s="12">
        <f t="shared" si="2"/>
        <v>0</v>
      </c>
    </row>
    <row r="136" ht="22.5" customHeight="1">
      <c r="A136" s="17" t="s">
        <v>206</v>
      </c>
      <c r="B136" s="17" t="s">
        <v>605</v>
      </c>
      <c r="C136" s="18">
        <v>107.904186</v>
      </c>
      <c r="D136" s="18">
        <v>0.89</v>
      </c>
      <c r="E136" s="12">
        <f>C136*'Reality Constants'!$B$2</f>
        <v>0</v>
      </c>
      <c r="F136" s="12">
        <f>E136 * ('Reality Constants'!$B$3 * 2)</f>
        <v>0</v>
      </c>
      <c r="G136" s="12">
        <f>F136 / 'Reality Constants'!$B$4</f>
        <v>670.5446408</v>
      </c>
      <c r="H136" s="12">
        <f>F136 / 'Reality Constants'!$B$5</f>
        <v>0</v>
      </c>
      <c r="I136" s="13">
        <f t="array" ref="I136">IFERROR(INDEX(all_stable_isotopes_complete_no!A:E, MATCH(B136, all_stable_isotopes_complete_no!B:B, 0), 5),"")</f>
        <v>4.5</v>
      </c>
      <c r="J136" s="12">
        <f t="shared" si="1"/>
        <v>0</v>
      </c>
      <c r="K136" s="12">
        <f t="shared" si="2"/>
        <v>0</v>
      </c>
    </row>
    <row r="137" ht="22.5" customHeight="1">
      <c r="A137" s="17" t="s">
        <v>206</v>
      </c>
      <c r="B137" s="17" t="s">
        <v>606</v>
      </c>
      <c r="C137" s="18">
        <v>109.903007</v>
      </c>
      <c r="D137" s="18">
        <v>12.49</v>
      </c>
      <c r="E137" s="12">
        <f>C137*'Reality Constants'!$B$2</f>
        <v>0</v>
      </c>
      <c r="F137" s="12">
        <f>E137 * ('Reality Constants'!$B$3 * 2)</f>
        <v>0</v>
      </c>
      <c r="G137" s="12">
        <f>F137 / 'Reality Constants'!$B$4</f>
        <v>682.9658337</v>
      </c>
      <c r="H137" s="12">
        <f>F137 / 'Reality Constants'!$B$5</f>
        <v>0</v>
      </c>
      <c r="I137" s="13">
        <f t="array" ref="I137">IFERROR(INDEX(all_stable_isotopes_complete_no!A:E, MATCH(B137, all_stable_isotopes_complete_no!B:B, 0), 5),"")</f>
        <v>4.5</v>
      </c>
      <c r="J137" s="12">
        <f t="shared" si="1"/>
        <v>0</v>
      </c>
      <c r="K137" s="12">
        <f t="shared" si="2"/>
        <v>0</v>
      </c>
    </row>
    <row r="138" ht="22.5" customHeight="1">
      <c r="A138" s="17" t="s">
        <v>206</v>
      </c>
      <c r="B138" s="17" t="s">
        <v>607</v>
      </c>
      <c r="C138" s="18">
        <v>110.904182</v>
      </c>
      <c r="D138" s="18">
        <v>12.8</v>
      </c>
      <c r="E138" s="12">
        <f>C138*'Reality Constants'!$B$2</f>
        <v>0</v>
      </c>
      <c r="F138" s="12">
        <f>E138 * ('Reality Constants'!$B$3 * 2)</f>
        <v>0</v>
      </c>
      <c r="G138" s="12">
        <f>F138 / 'Reality Constants'!$B$4</f>
        <v>689.1873952</v>
      </c>
      <c r="H138" s="12">
        <f>F138 / 'Reality Constants'!$B$5</f>
        <v>0</v>
      </c>
      <c r="I138" s="13">
        <f t="array" ref="I138">IFERROR(INDEX(all_stable_isotopes_complete_no!A:E, MATCH(B138, all_stable_isotopes_complete_no!B:B, 0), 5),"")</f>
        <v>4.5</v>
      </c>
      <c r="J138" s="12">
        <f t="shared" si="1"/>
        <v>0</v>
      </c>
      <c r="K138" s="12">
        <f t="shared" si="2"/>
        <v>0</v>
      </c>
    </row>
    <row r="139" ht="22.5" customHeight="1">
      <c r="A139" s="17" t="s">
        <v>206</v>
      </c>
      <c r="B139" s="17" t="s">
        <v>608</v>
      </c>
      <c r="C139" s="18">
        <v>111.902761</v>
      </c>
      <c r="D139" s="18">
        <v>24.13</v>
      </c>
      <c r="E139" s="12">
        <f>C139*'Reality Constants'!$B$2</f>
        <v>0</v>
      </c>
      <c r="F139" s="12">
        <f>E139 * ('Reality Constants'!$B$3 * 2)</f>
        <v>0</v>
      </c>
      <c r="G139" s="12">
        <f>F139 / 'Reality Constants'!$B$4</f>
        <v>695.3928245</v>
      </c>
      <c r="H139" s="12">
        <f>F139 / 'Reality Constants'!$B$5</f>
        <v>0</v>
      </c>
      <c r="I139" s="13">
        <f t="array" ref="I139">IFERROR(INDEX(all_stable_isotopes_complete_no!A:E, MATCH(B139, all_stable_isotopes_complete_no!B:B, 0), 5),"")</f>
        <v>4.5</v>
      </c>
      <c r="J139" s="12">
        <f t="shared" si="1"/>
        <v>0</v>
      </c>
      <c r="K139" s="12">
        <f t="shared" si="2"/>
        <v>0</v>
      </c>
    </row>
    <row r="140" ht="22.5" customHeight="1">
      <c r="A140" s="17" t="s">
        <v>206</v>
      </c>
      <c r="B140" s="17" t="s">
        <v>609</v>
      </c>
      <c r="C140" s="18">
        <v>112.904401</v>
      </c>
      <c r="D140" s="18">
        <v>12.22</v>
      </c>
      <c r="E140" s="12">
        <f>C140*'Reality Constants'!$B$2</f>
        <v>0</v>
      </c>
      <c r="F140" s="12">
        <f>E140 * ('Reality Constants'!$B$3 * 2)</f>
        <v>0</v>
      </c>
      <c r="G140" s="12">
        <f>F140 / 'Reality Constants'!$B$4</f>
        <v>701.6172756</v>
      </c>
      <c r="H140" s="12">
        <f>F140 / 'Reality Constants'!$B$5</f>
        <v>0</v>
      </c>
      <c r="I140" s="13">
        <f t="array" ref="I140">IFERROR(INDEX(all_stable_isotopes_complete_no!A:E, MATCH(B140, all_stable_isotopes_complete_no!B:B, 0), 5),"")</f>
        <v>4.5</v>
      </c>
      <c r="J140" s="12">
        <f t="shared" si="1"/>
        <v>0</v>
      </c>
      <c r="K140" s="12">
        <f t="shared" si="2"/>
        <v>0</v>
      </c>
    </row>
    <row r="141" ht="22.5" customHeight="1">
      <c r="A141" s="17" t="s">
        <v>206</v>
      </c>
      <c r="B141" s="17" t="s">
        <v>610</v>
      </c>
      <c r="C141" s="18">
        <v>113.903361</v>
      </c>
      <c r="D141" s="18">
        <v>28.73</v>
      </c>
      <c r="E141" s="12">
        <f>C141*'Reality Constants'!$B$2</f>
        <v>0</v>
      </c>
      <c r="F141" s="12">
        <f>E141 * ('Reality Constants'!$B$3 * 2)</f>
        <v>0</v>
      </c>
      <c r="G141" s="12">
        <f>F141 / 'Reality Constants'!$B$4</f>
        <v>707.8250725</v>
      </c>
      <c r="H141" s="12">
        <f>F141 / 'Reality Constants'!$B$5</f>
        <v>0</v>
      </c>
      <c r="I141" s="13">
        <f t="array" ref="I141">IFERROR(INDEX(all_stable_isotopes_complete_no!A:E, MATCH(B141, all_stable_isotopes_complete_no!B:B, 0), 5),"")</f>
        <v>4.5</v>
      </c>
      <c r="J141" s="12">
        <f t="shared" si="1"/>
        <v>0</v>
      </c>
      <c r="K141" s="12">
        <f t="shared" si="2"/>
        <v>0</v>
      </c>
    </row>
    <row r="142" ht="22.5" customHeight="1">
      <c r="A142" s="17" t="s">
        <v>206</v>
      </c>
      <c r="B142" s="17" t="s">
        <v>611</v>
      </c>
      <c r="C142" s="18">
        <v>115.904758</v>
      </c>
      <c r="D142" s="18">
        <v>7.49</v>
      </c>
      <c r="E142" s="12">
        <f>C142*'Reality Constants'!$B$2</f>
        <v>0</v>
      </c>
      <c r="F142" s="12">
        <f>E142 * ('Reality Constants'!$B$3 * 2)</f>
        <v>0</v>
      </c>
      <c r="G142" s="12">
        <f>F142 / 'Reality Constants'!$B$4</f>
        <v>720.2622734</v>
      </c>
      <c r="H142" s="12">
        <f>F142 / 'Reality Constants'!$B$5</f>
        <v>0</v>
      </c>
      <c r="I142" s="13">
        <f t="array" ref="I142">IFERROR(INDEX(all_stable_isotopes_complete_no!A:E, MATCH(B142, all_stable_isotopes_complete_no!B:B, 0), 5),"")</f>
        <v>4.5</v>
      </c>
      <c r="J142" s="12">
        <f t="shared" si="1"/>
        <v>0</v>
      </c>
      <c r="K142" s="12">
        <f t="shared" si="2"/>
        <v>0</v>
      </c>
    </row>
    <row r="143" ht="22.5" customHeight="1">
      <c r="A143" s="17" t="s">
        <v>219</v>
      </c>
      <c r="B143" s="17" t="s">
        <v>612</v>
      </c>
      <c r="C143" s="18">
        <v>112.904056</v>
      </c>
      <c r="D143" s="18">
        <v>4.29</v>
      </c>
      <c r="E143" s="12">
        <f>C143*'Reality Constants'!$B$2</f>
        <v>0</v>
      </c>
      <c r="F143" s="12">
        <f>E143 * ('Reality Constants'!$B$3 * 2)</f>
        <v>0</v>
      </c>
      <c r="G143" s="12">
        <f>F143 / 'Reality Constants'!$B$4</f>
        <v>701.6151317</v>
      </c>
      <c r="H143" s="12">
        <f>F143 / 'Reality Constants'!$B$5</f>
        <v>0</v>
      </c>
      <c r="I143" s="13">
        <f t="array" ref="I143">IFERROR(INDEX(all_stable_isotopes_complete_no!A:E, MATCH(B143, all_stable_isotopes_complete_no!B:B, 0), 5),"")</f>
        <v>322.6</v>
      </c>
      <c r="J143" s="12">
        <f t="shared" si="1"/>
        <v>0</v>
      </c>
      <c r="K143" s="12">
        <f t="shared" si="2"/>
        <v>0</v>
      </c>
    </row>
    <row r="144" ht="22.5" customHeight="1">
      <c r="A144" s="17" t="s">
        <v>219</v>
      </c>
      <c r="B144" s="17" t="s">
        <v>613</v>
      </c>
      <c r="C144" s="18">
        <v>114.903875</v>
      </c>
      <c r="D144" s="18">
        <v>95.71</v>
      </c>
      <c r="E144" s="12">
        <f>C144*'Reality Constants'!$B$2</f>
        <v>0</v>
      </c>
      <c r="F144" s="12">
        <f>E144 * ('Reality Constants'!$B$3 * 2)</f>
        <v>0</v>
      </c>
      <c r="G144" s="12">
        <f>F144 / 'Reality Constants'!$B$4</f>
        <v>714.0425264</v>
      </c>
      <c r="H144" s="12">
        <f>F144 / 'Reality Constants'!$B$5</f>
        <v>0</v>
      </c>
      <c r="I144" s="13">
        <f t="array" ref="I144">IFERROR(INDEX(all_stable_isotopes_complete_no!A:E, MATCH(B144, all_stable_isotopes_complete_no!B:B, 0), 5),"")</f>
        <v>322.6</v>
      </c>
      <c r="J144" s="12">
        <f t="shared" si="1"/>
        <v>0</v>
      </c>
      <c r="K144" s="12">
        <f t="shared" si="2"/>
        <v>0</v>
      </c>
    </row>
    <row r="145" ht="22.5" customHeight="1">
      <c r="A145" s="17" t="s">
        <v>217</v>
      </c>
      <c r="B145" s="17" t="s">
        <v>614</v>
      </c>
      <c r="C145" s="18">
        <v>111.904826</v>
      </c>
      <c r="D145" s="18">
        <v>0.97</v>
      </c>
      <c r="E145" s="12">
        <f>C145*'Reality Constants'!$B$2</f>
        <v>0</v>
      </c>
      <c r="F145" s="12">
        <f>E145 * ('Reality Constants'!$B$3 * 2)</f>
        <v>0</v>
      </c>
      <c r="G145" s="12">
        <f>F145 / 'Reality Constants'!$B$4</f>
        <v>695.4056569</v>
      </c>
      <c r="H145" s="12">
        <f>F145 / 'Reality Constants'!$B$5</f>
        <v>0</v>
      </c>
      <c r="I145" s="13">
        <f t="array" ref="I145">IFERROR(INDEX(all_stable_isotopes_complete_no!A:E, MATCH(B145, all_stable_isotopes_complete_no!B:B, 0), 5),"")</f>
        <v>39.13</v>
      </c>
      <c r="J145" s="12">
        <f t="shared" si="1"/>
        <v>0</v>
      </c>
      <c r="K145" s="12">
        <f t="shared" si="2"/>
        <v>0</v>
      </c>
    </row>
    <row r="146" ht="22.5" customHeight="1">
      <c r="A146" s="17" t="s">
        <v>217</v>
      </c>
      <c r="B146" s="17" t="s">
        <v>615</v>
      </c>
      <c r="C146" s="18">
        <v>113.902784</v>
      </c>
      <c r="D146" s="18">
        <v>0.65</v>
      </c>
      <c r="E146" s="12">
        <f>C146*'Reality Constants'!$B$2</f>
        <v>0</v>
      </c>
      <c r="F146" s="12">
        <f>E146 * ('Reality Constants'!$B$3 * 2)</f>
        <v>0</v>
      </c>
      <c r="G146" s="12">
        <f>F146 / 'Reality Constants'!$B$4</f>
        <v>707.8214869</v>
      </c>
      <c r="H146" s="12">
        <f>F146 / 'Reality Constants'!$B$5</f>
        <v>0</v>
      </c>
      <c r="I146" s="13">
        <f t="array" ref="I146">IFERROR(INDEX(all_stable_isotopes_complete_no!A:E, MATCH(B146, all_stable_isotopes_complete_no!B:B, 0), 5),"")</f>
        <v>39.13</v>
      </c>
      <c r="J146" s="12">
        <f t="shared" si="1"/>
        <v>0</v>
      </c>
      <c r="K146" s="12">
        <f t="shared" si="2"/>
        <v>0</v>
      </c>
    </row>
    <row r="147" ht="22.5" customHeight="1">
      <c r="A147" s="17" t="s">
        <v>217</v>
      </c>
      <c r="B147" s="17" t="s">
        <v>616</v>
      </c>
      <c r="C147" s="18">
        <v>114.903348</v>
      </c>
      <c r="D147" s="18">
        <v>0.36</v>
      </c>
      <c r="E147" s="12">
        <f>C147*'Reality Constants'!$B$2</f>
        <v>0</v>
      </c>
      <c r="F147" s="12">
        <f>E147 * ('Reality Constants'!$B$3 * 2)</f>
        <v>0</v>
      </c>
      <c r="G147" s="12">
        <f>F147 / 'Reality Constants'!$B$4</f>
        <v>714.0392515</v>
      </c>
      <c r="H147" s="12">
        <f>F147 / 'Reality Constants'!$B$5</f>
        <v>0</v>
      </c>
      <c r="I147" s="13">
        <f t="array" ref="I147">IFERROR(INDEX(all_stable_isotopes_complete_no!A:E, MATCH(B147, all_stable_isotopes_complete_no!B:B, 0), 5),"")</f>
        <v>39.13</v>
      </c>
      <c r="J147" s="12">
        <f t="shared" si="1"/>
        <v>0</v>
      </c>
      <c r="K147" s="12">
        <f t="shared" si="2"/>
        <v>0</v>
      </c>
    </row>
    <row r="148" ht="22.5" customHeight="1">
      <c r="A148" s="17" t="s">
        <v>217</v>
      </c>
      <c r="B148" s="17" t="s">
        <v>617</v>
      </c>
      <c r="C148" s="18">
        <v>115.901744</v>
      </c>
      <c r="D148" s="18">
        <v>14.7</v>
      </c>
      <c r="E148" s="12">
        <f>C148*'Reality Constants'!$B$2</f>
        <v>0</v>
      </c>
      <c r="F148" s="12">
        <f>E148 * ('Reality Constants'!$B$3 * 2)</f>
        <v>0</v>
      </c>
      <c r="G148" s="12">
        <f>F148 / 'Reality Constants'!$B$4</f>
        <v>720.2435436</v>
      </c>
      <c r="H148" s="12">
        <f>F148 / 'Reality Constants'!$B$5</f>
        <v>0</v>
      </c>
      <c r="I148" s="13">
        <f t="array" ref="I148">IFERROR(INDEX(all_stable_isotopes_complete_no!A:E, MATCH(B148, all_stable_isotopes_complete_no!B:B, 0), 5),"")</f>
        <v>39.13</v>
      </c>
      <c r="J148" s="12">
        <f t="shared" si="1"/>
        <v>0</v>
      </c>
      <c r="K148" s="12">
        <f t="shared" si="2"/>
        <v>0</v>
      </c>
    </row>
    <row r="149" ht="22.5" customHeight="1">
      <c r="A149" s="17" t="s">
        <v>217</v>
      </c>
      <c r="B149" s="17" t="s">
        <v>618</v>
      </c>
      <c r="C149" s="18">
        <v>116.902954</v>
      </c>
      <c r="D149" s="18">
        <v>7.7</v>
      </c>
      <c r="E149" s="12">
        <f>C149*'Reality Constants'!$B$2</f>
        <v>0</v>
      </c>
      <c r="F149" s="12">
        <f>E149 * ('Reality Constants'!$B$3 * 2)</f>
        <v>0</v>
      </c>
      <c r="G149" s="12">
        <f>F149 / 'Reality Constants'!$B$4</f>
        <v>726.4653226</v>
      </c>
      <c r="H149" s="12">
        <f>F149 / 'Reality Constants'!$B$5</f>
        <v>0</v>
      </c>
      <c r="I149" s="13">
        <f t="array" ref="I149">IFERROR(INDEX(all_stable_isotopes_complete_no!A:E, MATCH(B149, all_stable_isotopes_complete_no!B:B, 0), 5),"")</f>
        <v>39.13</v>
      </c>
      <c r="J149" s="12">
        <f t="shared" si="1"/>
        <v>0</v>
      </c>
      <c r="K149" s="12">
        <f t="shared" si="2"/>
        <v>0</v>
      </c>
    </row>
    <row r="150" ht="22.5" customHeight="1">
      <c r="A150" s="17" t="s">
        <v>217</v>
      </c>
      <c r="B150" s="17" t="s">
        <v>619</v>
      </c>
      <c r="C150" s="18">
        <v>117.901607</v>
      </c>
      <c r="D150" s="18">
        <v>24.3</v>
      </c>
      <c r="E150" s="12">
        <f>C150*'Reality Constants'!$B$2</f>
        <v>0</v>
      </c>
      <c r="F150" s="12">
        <f>E150 * ('Reality Constants'!$B$3 * 2)</f>
        <v>0</v>
      </c>
      <c r="G150" s="12">
        <f>F150 / 'Reality Constants'!$B$4</f>
        <v>732.6712118</v>
      </c>
      <c r="H150" s="12">
        <f>F150 / 'Reality Constants'!$B$5</f>
        <v>0</v>
      </c>
      <c r="I150" s="13">
        <f t="array" ref="I150">IFERROR(INDEX(all_stable_isotopes_complete_no!A:E, MATCH(B150, all_stable_isotopes_complete_no!B:B, 0), 5),"")</f>
        <v>39.13</v>
      </c>
      <c r="J150" s="12">
        <f t="shared" si="1"/>
        <v>0</v>
      </c>
      <c r="K150" s="12">
        <f t="shared" si="2"/>
        <v>0</v>
      </c>
    </row>
    <row r="151" ht="22.5" customHeight="1">
      <c r="A151" s="17" t="s">
        <v>217</v>
      </c>
      <c r="B151" s="17" t="s">
        <v>620</v>
      </c>
      <c r="C151" s="18">
        <v>118.90331</v>
      </c>
      <c r="D151" s="18">
        <v>8.6</v>
      </c>
      <c r="E151" s="12">
        <f>C151*'Reality Constants'!$B$2</f>
        <v>0</v>
      </c>
      <c r="F151" s="12">
        <f>E151 * ('Reality Constants'!$B$3 * 2)</f>
        <v>0</v>
      </c>
      <c r="G151" s="12">
        <f>F151 / 'Reality Constants'!$B$4</f>
        <v>738.8960544</v>
      </c>
      <c r="H151" s="12">
        <f>F151 / 'Reality Constants'!$B$5</f>
        <v>0</v>
      </c>
      <c r="I151" s="13">
        <f t="array" ref="I151">IFERROR(INDEX(all_stable_isotopes_complete_no!A:E, MATCH(B151, all_stable_isotopes_complete_no!B:B, 0), 5),"")</f>
        <v>39.13</v>
      </c>
      <c r="J151" s="12">
        <f t="shared" si="1"/>
        <v>0</v>
      </c>
      <c r="K151" s="12">
        <f t="shared" si="2"/>
        <v>0</v>
      </c>
    </row>
    <row r="152" ht="22.5" customHeight="1">
      <c r="A152" s="17" t="s">
        <v>217</v>
      </c>
      <c r="B152" s="17" t="s">
        <v>621</v>
      </c>
      <c r="C152" s="18">
        <v>119.902199</v>
      </c>
      <c r="D152" s="18">
        <v>32.4</v>
      </c>
      <c r="E152" s="12">
        <f>C152*'Reality Constants'!$B$2</f>
        <v>0</v>
      </c>
      <c r="F152" s="12">
        <f>E152 * ('Reality Constants'!$B$3 * 2)</f>
        <v>0</v>
      </c>
      <c r="G152" s="12">
        <f>F152 / 'Reality Constants'!$B$4</f>
        <v>745.1034101</v>
      </c>
      <c r="H152" s="12">
        <f>F152 / 'Reality Constants'!$B$5</f>
        <v>0</v>
      </c>
      <c r="I152" s="13">
        <f t="array" ref="I152">IFERROR(INDEX(all_stable_isotopes_complete_no!A:E, MATCH(B152, all_stable_isotopes_complete_no!B:B, 0), 5),"")</f>
        <v>39.13</v>
      </c>
      <c r="J152" s="12">
        <f t="shared" si="1"/>
        <v>0</v>
      </c>
      <c r="K152" s="12">
        <f t="shared" si="2"/>
        <v>0</v>
      </c>
    </row>
    <row r="153" ht="22.5" customHeight="1">
      <c r="A153" s="17" t="s">
        <v>217</v>
      </c>
      <c r="B153" s="17" t="s">
        <v>622</v>
      </c>
      <c r="C153" s="18">
        <v>121.90344</v>
      </c>
      <c r="D153" s="18">
        <v>4.6</v>
      </c>
      <c r="E153" s="12">
        <f>C153*'Reality Constants'!$B$2</f>
        <v>0</v>
      </c>
      <c r="F153" s="12">
        <f>E153 * ('Reality Constants'!$B$3 * 2)</f>
        <v>0</v>
      </c>
      <c r="G153" s="12">
        <f>F153 / 'Reality Constants'!$B$4</f>
        <v>757.5396415</v>
      </c>
      <c r="H153" s="12">
        <f>F153 / 'Reality Constants'!$B$5</f>
        <v>0</v>
      </c>
      <c r="I153" s="13">
        <f t="array" ref="I153">IFERROR(INDEX(all_stable_isotopes_complete_no!A:E, MATCH(B153, all_stable_isotopes_complete_no!B:B, 0), 5),"")</f>
        <v>39.13</v>
      </c>
      <c r="J153" s="12">
        <f t="shared" si="1"/>
        <v>0</v>
      </c>
      <c r="K153" s="12">
        <f t="shared" si="2"/>
        <v>0</v>
      </c>
    </row>
    <row r="154" ht="22.5" customHeight="1">
      <c r="A154" s="17" t="s">
        <v>217</v>
      </c>
      <c r="B154" s="17" t="s">
        <v>623</v>
      </c>
      <c r="C154" s="18">
        <v>123.905271</v>
      </c>
      <c r="D154" s="18">
        <v>5.6</v>
      </c>
      <c r="E154" s="12">
        <f>C154*'Reality Constants'!$B$2</f>
        <v>0</v>
      </c>
      <c r="F154" s="12">
        <f>E154 * ('Reality Constants'!$B$3 * 2)</f>
        <v>0</v>
      </c>
      <c r="G154" s="12">
        <f>F154 / 'Reality Constants'!$B$4</f>
        <v>769.9795394</v>
      </c>
      <c r="H154" s="12">
        <f>F154 / 'Reality Constants'!$B$5</f>
        <v>0</v>
      </c>
      <c r="I154" s="13">
        <f t="array" ref="I154">IFERROR(INDEX(all_stable_isotopes_complete_no!A:E, MATCH(B154, all_stable_isotopes_complete_no!B:B, 0), 5),"")</f>
        <v>39.13</v>
      </c>
      <c r="J154" s="12">
        <f t="shared" si="1"/>
        <v>0</v>
      </c>
      <c r="K154" s="12">
        <f t="shared" si="2"/>
        <v>0</v>
      </c>
    </row>
    <row r="155" ht="22.5" customHeight="1">
      <c r="A155" s="17" t="s">
        <v>234</v>
      </c>
      <c r="B155" s="17" t="s">
        <v>624</v>
      </c>
      <c r="C155" s="18">
        <v>120.903824</v>
      </c>
      <c r="D155" s="18">
        <v>57.21</v>
      </c>
      <c r="E155" s="12">
        <f>C155*'Reality Constants'!$B$2</f>
        <v>0</v>
      </c>
      <c r="F155" s="12">
        <f>E155 * ('Reality Constants'!$B$3 * 2)</f>
        <v>0</v>
      </c>
      <c r="G155" s="12">
        <f>F155 / 'Reality Constants'!$B$4</f>
        <v>751.327768</v>
      </c>
      <c r="H155" s="12">
        <f>F155 / 'Reality Constants'!$B$5</f>
        <v>0</v>
      </c>
      <c r="I155" s="13">
        <f t="array" ref="I155">IFERROR(INDEX(all_stable_isotopes_complete_no!A:E, MATCH(B155, all_stable_isotopes_complete_no!B:B, 0), 5),"")</f>
        <v>11</v>
      </c>
      <c r="J155" s="12">
        <f t="shared" si="1"/>
        <v>0</v>
      </c>
      <c r="K155" s="12">
        <f t="shared" si="2"/>
        <v>0</v>
      </c>
    </row>
    <row r="156" ht="22.5" customHeight="1">
      <c r="A156" s="17" t="s">
        <v>234</v>
      </c>
      <c r="B156" s="17" t="s">
        <v>625</v>
      </c>
      <c r="C156" s="18">
        <v>122.904222</v>
      </c>
      <c r="D156" s="18">
        <v>42.79</v>
      </c>
      <c r="E156" s="12">
        <f>C156*'Reality Constants'!$B$2</f>
        <v>0</v>
      </c>
      <c r="F156" s="12">
        <f>E156 * ('Reality Constants'!$B$3 * 2)</f>
        <v>0</v>
      </c>
      <c r="G156" s="12">
        <f>F156 / 'Reality Constants'!$B$4</f>
        <v>763.7587608</v>
      </c>
      <c r="H156" s="12">
        <f>F156 / 'Reality Constants'!$B$5</f>
        <v>0</v>
      </c>
      <c r="I156" s="13">
        <f t="array" ref="I156">IFERROR(INDEX(all_stable_isotopes_complete_no!A:E, MATCH(B156, all_stable_isotopes_complete_no!B:B, 0), 5),"")</f>
        <v>11</v>
      </c>
      <c r="J156" s="12">
        <f t="shared" si="1"/>
        <v>0</v>
      </c>
      <c r="K156" s="12">
        <f t="shared" si="2"/>
        <v>0</v>
      </c>
    </row>
    <row r="157" ht="22.5" customHeight="1">
      <c r="A157" s="17" t="s">
        <v>232</v>
      </c>
      <c r="B157" s="17" t="s">
        <v>626</v>
      </c>
      <c r="C157" s="18">
        <v>119.90402</v>
      </c>
      <c r="D157" s="18">
        <v>0.09</v>
      </c>
      <c r="E157" s="12">
        <f>C157*'Reality Constants'!$B$2</f>
        <v>0</v>
      </c>
      <c r="F157" s="12">
        <f>E157 * ('Reality Constants'!$B$3 * 2)</f>
        <v>0</v>
      </c>
      <c r="G157" s="12">
        <f>F157 / 'Reality Constants'!$B$4</f>
        <v>745.1147263</v>
      </c>
      <c r="H157" s="12">
        <f>F157 / 'Reality Constants'!$B$5</f>
        <v>0</v>
      </c>
      <c r="I157" s="13">
        <f t="array" ref="I157">IFERROR(INDEX(all_stable_isotopes_complete_no!A:E, MATCH(B157, all_stable_isotopes_complete_no!B:B, 0), 5),"")</f>
        <v>100</v>
      </c>
      <c r="J157" s="12">
        <f t="shared" si="1"/>
        <v>0</v>
      </c>
      <c r="K157" s="12">
        <f t="shared" si="2"/>
        <v>0</v>
      </c>
    </row>
    <row r="158" ht="22.5" customHeight="1">
      <c r="A158" s="17" t="s">
        <v>232</v>
      </c>
      <c r="B158" s="17" t="s">
        <v>627</v>
      </c>
      <c r="C158" s="18">
        <v>121.903047</v>
      </c>
      <c r="D158" s="18">
        <v>2.55</v>
      </c>
      <c r="E158" s="12">
        <f>C158*'Reality Constants'!$B$2</f>
        <v>0</v>
      </c>
      <c r="F158" s="12">
        <f>E158 * ('Reality Constants'!$B$3 * 2)</f>
        <v>0</v>
      </c>
      <c r="G158" s="12">
        <f>F158 / 'Reality Constants'!$B$4</f>
        <v>757.5371993</v>
      </c>
      <c r="H158" s="12">
        <f>F158 / 'Reality Constants'!$B$5</f>
        <v>0</v>
      </c>
      <c r="I158" s="13">
        <f t="array" ref="I158">IFERROR(INDEX(all_stable_isotopes_complete_no!A:E, MATCH(B158, all_stable_isotopes_complete_no!B:B, 0), 5),"")</f>
        <v>100</v>
      </c>
      <c r="J158" s="12">
        <f t="shared" si="1"/>
        <v>0</v>
      </c>
      <c r="K158" s="12">
        <f t="shared" si="2"/>
        <v>0</v>
      </c>
    </row>
    <row r="159" ht="22.5" customHeight="1">
      <c r="A159" s="17" t="s">
        <v>232</v>
      </c>
      <c r="B159" s="17" t="s">
        <v>628</v>
      </c>
      <c r="C159" s="18">
        <v>122.904273</v>
      </c>
      <c r="D159" s="18">
        <v>0.89</v>
      </c>
      <c r="E159" s="12">
        <f>C159*'Reality Constants'!$B$2</f>
        <v>0</v>
      </c>
      <c r="F159" s="12">
        <f>E159 * ('Reality Constants'!$B$3 * 2)</f>
        <v>0</v>
      </c>
      <c r="G159" s="12">
        <f>F159 / 'Reality Constants'!$B$4</f>
        <v>763.7590778</v>
      </c>
      <c r="H159" s="12">
        <f>F159 / 'Reality Constants'!$B$5</f>
        <v>0</v>
      </c>
      <c r="I159" s="13">
        <f t="array" ref="I159">IFERROR(INDEX(all_stable_isotopes_complete_no!A:E, MATCH(B159, all_stable_isotopes_complete_no!B:B, 0), 5),"")</f>
        <v>100</v>
      </c>
      <c r="J159" s="12">
        <f t="shared" si="1"/>
        <v>0</v>
      </c>
      <c r="K159" s="12">
        <f t="shared" si="2"/>
        <v>0</v>
      </c>
    </row>
    <row r="160" ht="22.5" customHeight="1">
      <c r="A160" s="17" t="s">
        <v>232</v>
      </c>
      <c r="B160" s="17" t="s">
        <v>629</v>
      </c>
      <c r="C160" s="18">
        <v>123.902818</v>
      </c>
      <c r="D160" s="18">
        <v>4.74</v>
      </c>
      <c r="E160" s="12">
        <f>C160*'Reality Constants'!$B$2</f>
        <v>0</v>
      </c>
      <c r="F160" s="12">
        <f>E160 * ('Reality Constants'!$B$3 * 2)</f>
        <v>0</v>
      </c>
      <c r="G160" s="12">
        <f>F160 / 'Reality Constants'!$B$4</f>
        <v>769.9642958</v>
      </c>
      <c r="H160" s="12">
        <f>F160 / 'Reality Constants'!$B$5</f>
        <v>0</v>
      </c>
      <c r="I160" s="13">
        <f t="array" ref="I160">IFERROR(INDEX(all_stable_isotopes_complete_no!A:E, MATCH(B160, all_stable_isotopes_complete_no!B:B, 0), 5),"")</f>
        <v>100</v>
      </c>
      <c r="J160" s="12">
        <f t="shared" si="1"/>
        <v>0</v>
      </c>
      <c r="K160" s="12">
        <f t="shared" si="2"/>
        <v>0</v>
      </c>
    </row>
    <row r="161" ht="22.5" customHeight="1">
      <c r="A161" s="17" t="s">
        <v>232</v>
      </c>
      <c r="B161" s="17" t="s">
        <v>630</v>
      </c>
      <c r="C161" s="18">
        <v>124.904425</v>
      </c>
      <c r="D161" s="18">
        <v>7.07</v>
      </c>
      <c r="E161" s="12">
        <f>C161*'Reality Constants'!$B$2</f>
        <v>0</v>
      </c>
      <c r="F161" s="12">
        <f>E161 * ('Reality Constants'!$B$3 * 2)</f>
        <v>0</v>
      </c>
      <c r="G161" s="12">
        <f>F161 / 'Reality Constants'!$B$4</f>
        <v>776.1885418</v>
      </c>
      <c r="H161" s="12">
        <f>F161 / 'Reality Constants'!$B$5</f>
        <v>0</v>
      </c>
      <c r="I161" s="13">
        <f t="array" ref="I161">IFERROR(INDEX(all_stable_isotopes_complete_no!A:E, MATCH(B161, all_stable_isotopes_complete_no!B:B, 0), 5),"")</f>
        <v>100</v>
      </c>
      <c r="J161" s="12">
        <f t="shared" si="1"/>
        <v>0</v>
      </c>
      <c r="K161" s="12">
        <f t="shared" si="2"/>
        <v>0</v>
      </c>
    </row>
    <row r="162" ht="22.5" customHeight="1">
      <c r="A162" s="17" t="s">
        <v>232</v>
      </c>
      <c r="B162" s="17" t="s">
        <v>631</v>
      </c>
      <c r="C162" s="18">
        <v>125.903306</v>
      </c>
      <c r="D162" s="18">
        <v>18.84</v>
      </c>
      <c r="E162" s="12">
        <f>C162*'Reality Constants'!$B$2</f>
        <v>0</v>
      </c>
      <c r="F162" s="12">
        <f>E162 * ('Reality Constants'!$B$3 * 2)</f>
        <v>0</v>
      </c>
      <c r="G162" s="12">
        <f>F162 / 'Reality Constants'!$B$4</f>
        <v>782.3958478</v>
      </c>
      <c r="H162" s="12">
        <f>F162 / 'Reality Constants'!$B$5</f>
        <v>0</v>
      </c>
      <c r="I162" s="13">
        <f t="array" ref="I162">IFERROR(INDEX(all_stable_isotopes_complete_no!A:E, MATCH(B162, all_stable_isotopes_complete_no!B:B, 0), 5),"")</f>
        <v>100</v>
      </c>
      <c r="J162" s="12">
        <f t="shared" si="1"/>
        <v>0</v>
      </c>
      <c r="K162" s="12">
        <f t="shared" si="2"/>
        <v>0</v>
      </c>
    </row>
    <row r="163" ht="22.5" customHeight="1">
      <c r="A163" s="17" t="s">
        <v>232</v>
      </c>
      <c r="B163" s="17" t="s">
        <v>632</v>
      </c>
      <c r="C163" s="18">
        <v>127.904463</v>
      </c>
      <c r="D163" s="18">
        <v>31.74</v>
      </c>
      <c r="E163" s="12">
        <f>C163*'Reality Constants'!$B$2</f>
        <v>0</v>
      </c>
      <c r="F163" s="12">
        <f>E163 * ('Reality Constants'!$B$3 * 2)</f>
        <v>0</v>
      </c>
      <c r="G163" s="12">
        <f>F163 / 'Reality Constants'!$B$4</f>
        <v>794.8315573</v>
      </c>
      <c r="H163" s="12">
        <f>F163 / 'Reality Constants'!$B$5</f>
        <v>0</v>
      </c>
      <c r="I163" s="13">
        <f t="array" ref="I163">IFERROR(INDEX(all_stable_isotopes_complete_no!A:E, MATCH(B163, all_stable_isotopes_complete_no!B:B, 0), 5),"")</f>
        <v>100</v>
      </c>
      <c r="J163" s="12">
        <f t="shared" si="1"/>
        <v>0</v>
      </c>
      <c r="K163" s="12">
        <f t="shared" si="2"/>
        <v>0</v>
      </c>
    </row>
    <row r="164" ht="22.5" customHeight="1">
      <c r="A164" s="17" t="s">
        <v>232</v>
      </c>
      <c r="B164" s="17" t="s">
        <v>633</v>
      </c>
      <c r="C164" s="18">
        <v>129.906229</v>
      </c>
      <c r="D164" s="18">
        <v>33.8</v>
      </c>
      <c r="E164" s="12">
        <f>C164*'Reality Constants'!$B$2</f>
        <v>0</v>
      </c>
      <c r="F164" s="12">
        <f>E164 * ('Reality Constants'!$B$3 * 2)</f>
        <v>0</v>
      </c>
      <c r="G164" s="12">
        <f>F164 / 'Reality Constants'!$B$4</f>
        <v>807.2710512</v>
      </c>
      <c r="H164" s="12">
        <f>F164 / 'Reality Constants'!$B$5</f>
        <v>0</v>
      </c>
      <c r="I164" s="13">
        <f t="array" ref="I164">IFERROR(INDEX(all_stable_isotopes_complete_no!A:E, MATCH(B164, all_stable_isotopes_complete_no!B:B, 0), 5),"")</f>
        <v>100</v>
      </c>
      <c r="J164" s="12">
        <f t="shared" si="1"/>
        <v>0</v>
      </c>
      <c r="K164" s="12">
        <f t="shared" si="2"/>
        <v>0</v>
      </c>
    </row>
    <row r="165" ht="22.5" customHeight="1">
      <c r="A165" s="17" t="s">
        <v>247</v>
      </c>
      <c r="B165" s="17" t="s">
        <v>634</v>
      </c>
      <c r="C165" s="18">
        <v>126.904477</v>
      </c>
      <c r="D165" s="18">
        <v>100.0</v>
      </c>
      <c r="E165" s="12">
        <f>C165*'Reality Constants'!$B$2</f>
        <v>0</v>
      </c>
      <c r="F165" s="12">
        <f>E165 * ('Reality Constants'!$B$3 * 2)</f>
        <v>0</v>
      </c>
      <c r="G165" s="12">
        <f>F165 / 'Reality Constants'!$B$4</f>
        <v>788.6173845</v>
      </c>
      <c r="H165" s="12">
        <f>F165 / 'Reality Constants'!$B$5</f>
        <v>0</v>
      </c>
      <c r="I165" s="13">
        <f t="array" ref="I165">IFERROR(INDEX(all_stable_isotopes_complete_no!A:E, MATCH(B165, all_stable_isotopes_complete_no!B:B, 0), 5),"")</f>
        <v>18</v>
      </c>
      <c r="J165" s="12">
        <f t="shared" si="1"/>
        <v>0</v>
      </c>
      <c r="K165" s="12">
        <f t="shared" si="2"/>
        <v>0</v>
      </c>
    </row>
    <row r="166" ht="22.5" customHeight="1">
      <c r="A166" s="17" t="s">
        <v>242</v>
      </c>
      <c r="B166" s="17" t="s">
        <v>635</v>
      </c>
      <c r="C166" s="18">
        <v>123.905896</v>
      </c>
      <c r="D166" s="18">
        <v>0.09</v>
      </c>
      <c r="E166" s="12">
        <f>C166*'Reality Constants'!$B$2</f>
        <v>0</v>
      </c>
      <c r="F166" s="12">
        <f>E166 * ('Reality Constants'!$B$3 * 2)</f>
        <v>0</v>
      </c>
      <c r="G166" s="12">
        <f>F166 / 'Reality Constants'!$B$4</f>
        <v>769.9834233</v>
      </c>
      <c r="H166" s="12">
        <f>F166 / 'Reality Constants'!$B$5</f>
        <v>0</v>
      </c>
      <c r="I166" s="13">
        <f t="array" ref="I166">IFERROR(INDEX(all_stable_isotopes_complete_no!A:E, MATCH(B166, all_stable_isotopes_complete_no!B:B, 0), 5),"")</f>
        <v>100</v>
      </c>
      <c r="J166" s="12">
        <f t="shared" si="1"/>
        <v>0</v>
      </c>
      <c r="K166" s="12">
        <f t="shared" si="2"/>
        <v>0</v>
      </c>
    </row>
    <row r="167" ht="22.5" customHeight="1">
      <c r="A167" s="17" t="s">
        <v>242</v>
      </c>
      <c r="B167" s="17" t="s">
        <v>636</v>
      </c>
      <c r="C167" s="18">
        <v>125.904269</v>
      </c>
      <c r="D167" s="18">
        <v>0.09</v>
      </c>
      <c r="E167" s="12">
        <f>C167*'Reality Constants'!$B$2</f>
        <v>0</v>
      </c>
      <c r="F167" s="12">
        <f>E167 * ('Reality Constants'!$B$3 * 2)</f>
        <v>0</v>
      </c>
      <c r="G167" s="12">
        <f>F167 / 'Reality Constants'!$B$4</f>
        <v>782.4018322</v>
      </c>
      <c r="H167" s="12">
        <f>F167 / 'Reality Constants'!$B$5</f>
        <v>0</v>
      </c>
      <c r="I167" s="13">
        <f t="array" ref="I167">IFERROR(INDEX(all_stable_isotopes_complete_no!A:E, MATCH(B167, all_stable_isotopes_complete_no!B:B, 0), 5),"")</f>
        <v>100</v>
      </c>
      <c r="J167" s="12">
        <f t="shared" si="1"/>
        <v>0</v>
      </c>
      <c r="K167" s="12">
        <f t="shared" si="2"/>
        <v>0</v>
      </c>
    </row>
    <row r="168" ht="22.5" customHeight="1">
      <c r="A168" s="17" t="s">
        <v>242</v>
      </c>
      <c r="B168" s="17" t="s">
        <v>637</v>
      </c>
      <c r="C168" s="18">
        <v>127.903531</v>
      </c>
      <c r="D168" s="18">
        <v>1.92</v>
      </c>
      <c r="E168" s="12">
        <f>C168*'Reality Constants'!$B$2</f>
        <v>0</v>
      </c>
      <c r="F168" s="12">
        <f>E168 * ('Reality Constants'!$B$3 * 2)</f>
        <v>0</v>
      </c>
      <c r="G168" s="12">
        <f>F168 / 'Reality Constants'!$B$4</f>
        <v>794.8257656</v>
      </c>
      <c r="H168" s="12">
        <f>F168 / 'Reality Constants'!$B$5</f>
        <v>0</v>
      </c>
      <c r="I168" s="13">
        <f t="array" ref="I168">IFERROR(INDEX(all_stable_isotopes_complete_no!A:E, MATCH(B168, all_stable_isotopes_complete_no!B:B, 0), 5),"")</f>
        <v>100</v>
      </c>
      <c r="J168" s="12">
        <f t="shared" si="1"/>
        <v>0</v>
      </c>
      <c r="K168" s="12">
        <f t="shared" si="2"/>
        <v>0</v>
      </c>
    </row>
    <row r="169" ht="22.5" customHeight="1">
      <c r="A169" s="17" t="s">
        <v>242</v>
      </c>
      <c r="B169" s="17" t="s">
        <v>638</v>
      </c>
      <c r="C169" s="18">
        <v>128.904779</v>
      </c>
      <c r="D169" s="18">
        <v>26.44</v>
      </c>
      <c r="E169" s="12">
        <f>C169*'Reality Constants'!$B$2</f>
        <v>0</v>
      </c>
      <c r="F169" s="12">
        <f>E169 * ('Reality Constants'!$B$3 * 2)</f>
        <v>0</v>
      </c>
      <c r="G169" s="12">
        <f>F169 / 'Reality Constants'!$B$4</f>
        <v>801.0477807</v>
      </c>
      <c r="H169" s="12">
        <f>F169 / 'Reality Constants'!$B$5</f>
        <v>0</v>
      </c>
      <c r="I169" s="13">
        <f t="array" ref="I169">IFERROR(INDEX(all_stable_isotopes_complete_no!A:E, MATCH(B169, all_stable_isotopes_complete_no!B:B, 0), 5),"")</f>
        <v>100</v>
      </c>
      <c r="J169" s="12">
        <f t="shared" si="1"/>
        <v>0</v>
      </c>
      <c r="K169" s="12">
        <f t="shared" si="2"/>
        <v>0</v>
      </c>
    </row>
    <row r="170" ht="22.5" customHeight="1">
      <c r="A170" s="17" t="s">
        <v>242</v>
      </c>
      <c r="B170" s="17" t="s">
        <v>639</v>
      </c>
      <c r="C170" s="18">
        <v>129.903509</v>
      </c>
      <c r="D170" s="18">
        <v>4.08</v>
      </c>
      <c r="E170" s="12">
        <f>C170*'Reality Constants'!$B$2</f>
        <v>0</v>
      </c>
      <c r="F170" s="12">
        <f>E170 * ('Reality Constants'!$B$3 * 2)</f>
        <v>0</v>
      </c>
      <c r="G170" s="12">
        <f>F170 / 'Reality Constants'!$B$4</f>
        <v>807.2541484</v>
      </c>
      <c r="H170" s="12">
        <f>F170 / 'Reality Constants'!$B$5</f>
        <v>0</v>
      </c>
      <c r="I170" s="13">
        <f t="array" ref="I170">IFERROR(INDEX(all_stable_isotopes_complete_no!A:E, MATCH(B170, all_stable_isotopes_complete_no!B:B, 0), 5),"")</f>
        <v>100</v>
      </c>
      <c r="J170" s="12">
        <f t="shared" si="1"/>
        <v>0</v>
      </c>
      <c r="K170" s="12">
        <f t="shared" si="2"/>
        <v>0</v>
      </c>
    </row>
    <row r="171" ht="22.5" customHeight="1">
      <c r="A171" s="17" t="s">
        <v>242</v>
      </c>
      <c r="B171" s="17" t="s">
        <v>640</v>
      </c>
      <c r="C171" s="18">
        <v>130.905084</v>
      </c>
      <c r="D171" s="18">
        <v>21.18</v>
      </c>
      <c r="E171" s="12">
        <f>C171*'Reality Constants'!$B$2</f>
        <v>0</v>
      </c>
      <c r="F171" s="12">
        <f>E171 * ('Reality Constants'!$B$3 * 2)</f>
        <v>0</v>
      </c>
      <c r="G171" s="12">
        <f>F171 / 'Reality Constants'!$B$4</f>
        <v>813.4781956</v>
      </c>
      <c r="H171" s="12">
        <f>F171 / 'Reality Constants'!$B$5</f>
        <v>0</v>
      </c>
      <c r="I171" s="13">
        <f t="array" ref="I171">IFERROR(INDEX(all_stable_isotopes_complete_no!A:E, MATCH(B171, all_stable_isotopes_complete_no!B:B, 0), 5),"")</f>
        <v>100</v>
      </c>
      <c r="J171" s="12">
        <f t="shared" si="1"/>
        <v>0</v>
      </c>
      <c r="K171" s="12">
        <f t="shared" si="2"/>
        <v>0</v>
      </c>
    </row>
    <row r="172" ht="22.5" customHeight="1">
      <c r="A172" s="17" t="s">
        <v>242</v>
      </c>
      <c r="B172" s="17" t="s">
        <v>641</v>
      </c>
      <c r="C172" s="18">
        <v>131.904154</v>
      </c>
      <c r="D172" s="18">
        <v>26.89</v>
      </c>
      <c r="E172" s="12">
        <f>C172*'Reality Constants'!$B$2</f>
        <v>0</v>
      </c>
      <c r="F172" s="12">
        <f>E172 * ('Reality Constants'!$B$3 * 2)</f>
        <v>0</v>
      </c>
      <c r="G172" s="12">
        <f>F172 / 'Reality Constants'!$B$4</f>
        <v>819.6866761</v>
      </c>
      <c r="H172" s="12">
        <f>F172 / 'Reality Constants'!$B$5</f>
        <v>0</v>
      </c>
      <c r="I172" s="13">
        <f t="array" ref="I172">IFERROR(INDEX(all_stable_isotopes_complete_no!A:E, MATCH(B172, all_stable_isotopes_complete_no!B:B, 0), 5),"")</f>
        <v>100</v>
      </c>
      <c r="J172" s="12">
        <f t="shared" si="1"/>
        <v>0</v>
      </c>
      <c r="K172" s="12">
        <f t="shared" si="2"/>
        <v>0</v>
      </c>
    </row>
    <row r="173" ht="22.5" customHeight="1">
      <c r="A173" s="17" t="s">
        <v>242</v>
      </c>
      <c r="B173" s="17" t="s">
        <v>642</v>
      </c>
      <c r="C173" s="18">
        <v>133.905395</v>
      </c>
      <c r="D173" s="18">
        <v>10.44</v>
      </c>
      <c r="E173" s="12">
        <f>C173*'Reality Constants'!$B$2</f>
        <v>0</v>
      </c>
      <c r="F173" s="12">
        <f>E173 * ('Reality Constants'!$B$3 * 2)</f>
        <v>0</v>
      </c>
      <c r="G173" s="12">
        <f>F173 / 'Reality Constants'!$B$4</f>
        <v>832.1229075</v>
      </c>
      <c r="H173" s="12">
        <f>F173 / 'Reality Constants'!$B$5</f>
        <v>0</v>
      </c>
      <c r="I173" s="13">
        <f t="array" ref="I173">IFERROR(INDEX(all_stable_isotopes_complete_no!A:E, MATCH(B173, all_stable_isotopes_complete_no!B:B, 0), 5),"")</f>
        <v>100</v>
      </c>
      <c r="J173" s="12">
        <f t="shared" si="1"/>
        <v>0</v>
      </c>
      <c r="K173" s="12">
        <f t="shared" si="2"/>
        <v>0</v>
      </c>
    </row>
    <row r="174" ht="22.5" customHeight="1">
      <c r="A174" s="17" t="s">
        <v>242</v>
      </c>
      <c r="B174" s="17" t="s">
        <v>643</v>
      </c>
      <c r="C174" s="18">
        <v>135.907219</v>
      </c>
      <c r="D174" s="18">
        <v>8.87</v>
      </c>
      <c r="E174" s="12">
        <f>C174*'Reality Constants'!$B$2</f>
        <v>0</v>
      </c>
      <c r="F174" s="12">
        <f>E174 * ('Reality Constants'!$B$3 * 2)</f>
        <v>0</v>
      </c>
      <c r="G174" s="12">
        <f>F174 / 'Reality Constants'!$B$4</f>
        <v>844.5627618</v>
      </c>
      <c r="H174" s="12">
        <f>F174 / 'Reality Constants'!$B$5</f>
        <v>0</v>
      </c>
      <c r="I174" s="13">
        <f t="array" ref="I174">IFERROR(INDEX(all_stable_isotopes_complete_no!A:E, MATCH(B174, all_stable_isotopes_complete_no!B:B, 0), 5),"")</f>
        <v>100</v>
      </c>
      <c r="J174" s="12">
        <f t="shared" si="1"/>
        <v>0</v>
      </c>
      <c r="K174" s="12">
        <f t="shared" si="2"/>
        <v>0</v>
      </c>
    </row>
    <row r="175" ht="22.5" customHeight="1">
      <c r="A175" s="17" t="s">
        <v>259</v>
      </c>
      <c r="B175" s="17" t="s">
        <v>644</v>
      </c>
      <c r="C175" s="18">
        <v>132.905452</v>
      </c>
      <c r="D175" s="18">
        <v>100.0</v>
      </c>
      <c r="E175" s="12">
        <f>C175*'Reality Constants'!$B$2</f>
        <v>0</v>
      </c>
      <c r="F175" s="12">
        <f>E175 * ('Reality Constants'!$B$3 * 2)</f>
        <v>0</v>
      </c>
      <c r="G175" s="12">
        <f>F175 / 'Reality Constants'!$B$4</f>
        <v>825.909002</v>
      </c>
      <c r="H175" s="12">
        <f>F175 / 'Reality Constants'!$B$5</f>
        <v>0</v>
      </c>
      <c r="I175" s="13">
        <f t="array" ref="I175">IFERROR(INDEX(all_stable_isotopes_complete_no!A:E, MATCH(B175, all_stable_isotopes_complete_no!B:B, 0), 5),"")</f>
        <v>81.72</v>
      </c>
      <c r="J175" s="12">
        <f t="shared" si="1"/>
        <v>0</v>
      </c>
      <c r="K175" s="12">
        <f t="shared" si="2"/>
        <v>0</v>
      </c>
    </row>
    <row r="176" ht="22.5" customHeight="1">
      <c r="A176" s="17" t="s">
        <v>254</v>
      </c>
      <c r="B176" s="17" t="s">
        <v>645</v>
      </c>
      <c r="C176" s="18">
        <v>129.906229</v>
      </c>
      <c r="D176" s="18">
        <v>0.106</v>
      </c>
      <c r="E176" s="12">
        <f>C176*'Reality Constants'!$B$2</f>
        <v>0</v>
      </c>
      <c r="F176" s="12">
        <f>E176 * ('Reality Constants'!$B$3 * 2)</f>
        <v>0</v>
      </c>
      <c r="G176" s="12">
        <f>F176 / 'Reality Constants'!$B$4</f>
        <v>807.2710512</v>
      </c>
      <c r="H176" s="12">
        <f>F176 / 'Reality Constants'!$B$5</f>
        <v>0</v>
      </c>
      <c r="I176" s="13">
        <f t="array" ref="I176">IFERROR(INDEX(all_stable_isotopes_complete_no!A:E, MATCH(B176, all_stable_isotopes_complete_no!B:B, 0), 5),"")</f>
        <v>8</v>
      </c>
      <c r="J176" s="12">
        <f t="shared" si="1"/>
        <v>0</v>
      </c>
      <c r="K176" s="12">
        <f t="shared" si="2"/>
        <v>0</v>
      </c>
    </row>
    <row r="177" ht="22.5" customHeight="1">
      <c r="A177" s="17" t="s">
        <v>254</v>
      </c>
      <c r="B177" s="17" t="s">
        <v>646</v>
      </c>
      <c r="C177" s="18">
        <v>131.905061</v>
      </c>
      <c r="D177" s="18">
        <v>0.101</v>
      </c>
      <c r="E177" s="12">
        <f>C177*'Reality Constants'!$B$2</f>
        <v>0</v>
      </c>
      <c r="F177" s="12">
        <f>E177 * ('Reality Constants'!$B$3 * 2)</f>
        <v>0</v>
      </c>
      <c r="G177" s="12">
        <f>F177 / 'Reality Constants'!$B$4</f>
        <v>819.6923124</v>
      </c>
      <c r="H177" s="12">
        <f>F177 / 'Reality Constants'!$B$5</f>
        <v>0</v>
      </c>
      <c r="I177" s="13">
        <f t="array" ref="I177">IFERROR(INDEX(all_stable_isotopes_complete_no!A:E, MATCH(B177, all_stable_isotopes_complete_no!B:B, 0), 5),"")</f>
        <v>8</v>
      </c>
      <c r="J177" s="12">
        <f t="shared" si="1"/>
        <v>0</v>
      </c>
      <c r="K177" s="12">
        <f t="shared" si="2"/>
        <v>0</v>
      </c>
    </row>
    <row r="178" ht="22.5" customHeight="1">
      <c r="A178" s="17" t="s">
        <v>254</v>
      </c>
      <c r="B178" s="17" t="s">
        <v>647</v>
      </c>
      <c r="C178" s="18">
        <v>133.904505</v>
      </c>
      <c r="D178" s="18">
        <v>2.417</v>
      </c>
      <c r="E178" s="12">
        <f>C178*'Reality Constants'!$B$2</f>
        <v>0</v>
      </c>
      <c r="F178" s="12">
        <f>E178 * ('Reality Constants'!$B$3 * 2)</f>
        <v>0</v>
      </c>
      <c r="G178" s="12">
        <f>F178 / 'Reality Constants'!$B$4</f>
        <v>832.1173768</v>
      </c>
      <c r="H178" s="12">
        <f>F178 / 'Reality Constants'!$B$5</f>
        <v>0</v>
      </c>
      <c r="I178" s="13">
        <f t="array" ref="I178">IFERROR(INDEX(all_stable_isotopes_complete_no!A:E, MATCH(B178, all_stable_isotopes_complete_no!B:B, 0), 5),"")</f>
        <v>8</v>
      </c>
      <c r="J178" s="12">
        <f t="shared" si="1"/>
        <v>0</v>
      </c>
      <c r="K178" s="12">
        <f t="shared" si="2"/>
        <v>0</v>
      </c>
    </row>
    <row r="179" ht="22.5" customHeight="1">
      <c r="A179" s="17" t="s">
        <v>254</v>
      </c>
      <c r="B179" s="17" t="s">
        <v>648</v>
      </c>
      <c r="C179" s="18">
        <v>134.905683</v>
      </c>
      <c r="D179" s="18">
        <v>6.592</v>
      </c>
      <c r="E179" s="12">
        <f>C179*'Reality Constants'!$B$2</f>
        <v>0</v>
      </c>
      <c r="F179" s="12">
        <f>E179 * ('Reality Constants'!$B$3 * 2)</f>
        <v>0</v>
      </c>
      <c r="G179" s="12">
        <f>F179 / 'Reality Constants'!$B$4</f>
        <v>838.338957</v>
      </c>
      <c r="H179" s="12">
        <f>F179 / 'Reality Constants'!$B$5</f>
        <v>0</v>
      </c>
      <c r="I179" s="13">
        <f t="array" ref="I179">IFERROR(INDEX(all_stable_isotopes_complete_no!A:E, MATCH(B179, all_stable_isotopes_complete_no!B:B, 0), 5),"")</f>
        <v>8</v>
      </c>
      <c r="J179" s="12">
        <f t="shared" si="1"/>
        <v>0</v>
      </c>
      <c r="K179" s="12">
        <f t="shared" si="2"/>
        <v>0</v>
      </c>
    </row>
    <row r="180" ht="22.5" customHeight="1">
      <c r="A180" s="17" t="s">
        <v>254</v>
      </c>
      <c r="B180" s="17" t="s">
        <v>649</v>
      </c>
      <c r="C180" s="18">
        <v>135.90457</v>
      </c>
      <c r="D180" s="18">
        <v>7.854</v>
      </c>
      <c r="E180" s="12">
        <f>C180*'Reality Constants'!$B$2</f>
        <v>0</v>
      </c>
      <c r="F180" s="12">
        <f>E180 * ('Reality Constants'!$B$3 * 2)</f>
        <v>0</v>
      </c>
      <c r="G180" s="12">
        <f>F180 / 'Reality Constants'!$B$4</f>
        <v>844.5463003</v>
      </c>
      <c r="H180" s="12">
        <f>F180 / 'Reality Constants'!$B$5</f>
        <v>0</v>
      </c>
      <c r="I180" s="13">
        <f t="array" ref="I180">IFERROR(INDEX(all_stable_isotopes_complete_no!A:E, MATCH(B180, all_stable_isotopes_complete_no!B:B, 0), 5),"")</f>
        <v>8</v>
      </c>
      <c r="J180" s="12">
        <f t="shared" si="1"/>
        <v>0</v>
      </c>
      <c r="K180" s="12">
        <f t="shared" si="2"/>
        <v>0</v>
      </c>
    </row>
    <row r="181" ht="22.5" customHeight="1">
      <c r="A181" s="17" t="s">
        <v>254</v>
      </c>
      <c r="B181" s="17" t="s">
        <v>650</v>
      </c>
      <c r="C181" s="18">
        <v>136.905821</v>
      </c>
      <c r="D181" s="18">
        <v>11.232</v>
      </c>
      <c r="E181" s="12">
        <f>C181*'Reality Constants'!$B$2</f>
        <v>0</v>
      </c>
      <c r="F181" s="12">
        <f>E181 * ('Reality Constants'!$B$3 * 2)</f>
        <v>0</v>
      </c>
      <c r="G181" s="12">
        <f>F181 / 'Reality Constants'!$B$4</f>
        <v>850.768334</v>
      </c>
      <c r="H181" s="12">
        <f>F181 / 'Reality Constants'!$B$5</f>
        <v>0</v>
      </c>
      <c r="I181" s="13">
        <f t="array" ref="I181">IFERROR(INDEX(all_stable_isotopes_complete_no!A:E, MATCH(B181, all_stable_isotopes_complete_no!B:B, 0), 5),"")</f>
        <v>8</v>
      </c>
      <c r="J181" s="12">
        <f t="shared" si="1"/>
        <v>0</v>
      </c>
      <c r="K181" s="12">
        <f t="shared" si="2"/>
        <v>0</v>
      </c>
    </row>
    <row r="182" ht="22.5" customHeight="1">
      <c r="A182" s="17" t="s">
        <v>254</v>
      </c>
      <c r="B182" s="17" t="s">
        <v>651</v>
      </c>
      <c r="C182" s="18">
        <v>137.905236</v>
      </c>
      <c r="D182" s="18">
        <v>71.698</v>
      </c>
      <c r="E182" s="12">
        <f>C182*'Reality Constants'!$B$2</f>
        <v>0</v>
      </c>
      <c r="F182" s="12">
        <f>E182 * ('Reality Constants'!$B$3 * 2)</f>
        <v>0</v>
      </c>
      <c r="G182" s="12">
        <f>F182 / 'Reality Constants'!$B$4</f>
        <v>856.9789585</v>
      </c>
      <c r="H182" s="12">
        <f>F182 / 'Reality Constants'!$B$5</f>
        <v>0</v>
      </c>
      <c r="I182" s="13">
        <f t="array" ref="I182">IFERROR(INDEX(all_stable_isotopes_complete_no!A:E, MATCH(B182, all_stable_isotopes_complete_no!B:B, 0), 5),"")</f>
        <v>8</v>
      </c>
      <c r="J182" s="12">
        <f t="shared" si="1"/>
        <v>0</v>
      </c>
      <c r="K182" s="12">
        <f t="shared" si="2"/>
        <v>0</v>
      </c>
    </row>
    <row r="183" ht="22.5" customHeight="1">
      <c r="A183" s="17" t="s">
        <v>271</v>
      </c>
      <c r="B183" s="17" t="s">
        <v>652</v>
      </c>
      <c r="C183" s="18">
        <v>137.907114</v>
      </c>
      <c r="D183" s="18">
        <v>0.09</v>
      </c>
      <c r="E183" s="12">
        <f>C183*'Reality Constants'!$B$2</f>
        <v>0</v>
      </c>
      <c r="F183" s="12">
        <f>E183 * ('Reality Constants'!$B$3 * 2)</f>
        <v>0</v>
      </c>
      <c r="G183" s="12">
        <f>F183 / 'Reality Constants'!$B$4</f>
        <v>856.9906288</v>
      </c>
      <c r="H183" s="12">
        <f>F183 / 'Reality Constants'!$B$5</f>
        <v>0</v>
      </c>
      <c r="I183" s="13">
        <f t="array" ref="I183">IFERROR(INDEX(all_stable_isotopes_complete_no!A:E, MATCH(B183, all_stable_isotopes_complete_no!B:B, 0), 5),"")</f>
        <v>2.68</v>
      </c>
      <c r="J183" s="12">
        <f t="shared" si="1"/>
        <v>0</v>
      </c>
      <c r="K183" s="12">
        <f t="shared" si="2"/>
        <v>0</v>
      </c>
    </row>
    <row r="184" ht="22.5" customHeight="1">
      <c r="A184" s="17" t="s">
        <v>271</v>
      </c>
      <c r="B184" s="17" t="s">
        <v>653</v>
      </c>
      <c r="C184" s="18">
        <v>138.906355</v>
      </c>
      <c r="D184" s="18">
        <v>99.91</v>
      </c>
      <c r="E184" s="12">
        <f>C184*'Reality Constants'!$B$2</f>
        <v>0</v>
      </c>
      <c r="F184" s="12">
        <f>E184 * ('Reality Constants'!$B$3 * 2)</f>
        <v>0</v>
      </c>
      <c r="G184" s="12">
        <f>F184 / 'Reality Constants'!$B$4</f>
        <v>863.200172</v>
      </c>
      <c r="H184" s="12">
        <f>F184 / 'Reality Constants'!$B$5</f>
        <v>0</v>
      </c>
      <c r="I184" s="13">
        <f t="array" ref="I184">IFERROR(INDEX(all_stable_isotopes_complete_no!A:E, MATCH(B184, all_stable_isotopes_complete_no!B:B, 0), 5),"")</f>
        <v>2.68</v>
      </c>
      <c r="J184" s="12">
        <f t="shared" si="1"/>
        <v>0</v>
      </c>
      <c r="K184" s="12">
        <f t="shared" si="2"/>
        <v>0</v>
      </c>
    </row>
    <row r="185" ht="22.5" customHeight="1">
      <c r="A185" s="17" t="s">
        <v>265</v>
      </c>
      <c r="B185" s="17" t="s">
        <v>654</v>
      </c>
      <c r="C185" s="18">
        <v>135.90714</v>
      </c>
      <c r="D185" s="18">
        <v>0.19</v>
      </c>
      <c r="E185" s="12">
        <f>C185*'Reality Constants'!$B$2</f>
        <v>0</v>
      </c>
      <c r="F185" s="12">
        <f>E185 * ('Reality Constants'!$B$3 * 2)</f>
        <v>0</v>
      </c>
      <c r="G185" s="12">
        <f>F185 / 'Reality Constants'!$B$4</f>
        <v>844.5622709</v>
      </c>
      <c r="H185" s="12">
        <f>F185 / 'Reality Constants'!$B$5</f>
        <v>0</v>
      </c>
      <c r="I185" s="13">
        <f t="array" ref="I185">IFERROR(INDEX(all_stable_isotopes_complete_no!A:E, MATCH(B185, all_stable_isotopes_complete_no!B:B, 0), 5),"")</f>
        <v>3.61</v>
      </c>
      <c r="J185" s="12">
        <f t="shared" si="1"/>
        <v>0</v>
      </c>
      <c r="K185" s="12">
        <f t="shared" si="2"/>
        <v>0</v>
      </c>
    </row>
    <row r="186" ht="22.5" customHeight="1">
      <c r="A186" s="17" t="s">
        <v>265</v>
      </c>
      <c r="B186" s="17" t="s">
        <v>655</v>
      </c>
      <c r="C186" s="18">
        <v>137.905996</v>
      </c>
      <c r="D186" s="18">
        <v>0.25</v>
      </c>
      <c r="E186" s="12">
        <f>C186*'Reality Constants'!$B$2</f>
        <v>0</v>
      </c>
      <c r="F186" s="12">
        <f>E186 * ('Reality Constants'!$B$3 * 2)</f>
        <v>0</v>
      </c>
      <c r="G186" s="12">
        <f>F186 / 'Reality Constants'!$B$4</f>
        <v>856.9836813</v>
      </c>
      <c r="H186" s="12">
        <f>F186 / 'Reality Constants'!$B$5</f>
        <v>0</v>
      </c>
      <c r="I186" s="13">
        <f t="array" ref="I186">IFERROR(INDEX(all_stable_isotopes_complete_no!A:E, MATCH(B186, all_stable_isotopes_complete_no!B:B, 0), 5),"")</f>
        <v>3.61</v>
      </c>
      <c r="J186" s="12">
        <f t="shared" si="1"/>
        <v>0</v>
      </c>
      <c r="K186" s="12">
        <f t="shared" si="2"/>
        <v>0</v>
      </c>
    </row>
    <row r="187" ht="22.5" customHeight="1">
      <c r="A187" s="17" t="s">
        <v>265</v>
      </c>
      <c r="B187" s="17" t="s">
        <v>656</v>
      </c>
      <c r="C187" s="18">
        <v>139.905442</v>
      </c>
      <c r="D187" s="18">
        <v>88.48</v>
      </c>
      <c r="E187" s="12">
        <f>C187*'Reality Constants'!$B$2</f>
        <v>0</v>
      </c>
      <c r="F187" s="12">
        <f>E187 * ('Reality Constants'!$B$3 * 2)</f>
        <v>0</v>
      </c>
      <c r="G187" s="12">
        <f>F187 / 'Reality Constants'!$B$4</f>
        <v>869.4087581</v>
      </c>
      <c r="H187" s="12">
        <f>F187 / 'Reality Constants'!$B$5</f>
        <v>0</v>
      </c>
      <c r="I187" s="13">
        <f t="array" ref="I187">IFERROR(INDEX(all_stable_isotopes_complete_no!A:E, MATCH(B187, all_stable_isotopes_complete_no!B:B, 0), 5),"")</f>
        <v>3.61</v>
      </c>
      <c r="J187" s="12">
        <f t="shared" si="1"/>
        <v>0</v>
      </c>
      <c r="K187" s="12">
        <f t="shared" si="2"/>
        <v>0</v>
      </c>
    </row>
    <row r="188" ht="22.5" customHeight="1">
      <c r="A188" s="17" t="s">
        <v>265</v>
      </c>
      <c r="B188" s="17" t="s">
        <v>657</v>
      </c>
      <c r="C188" s="18">
        <v>141.909249</v>
      </c>
      <c r="D188" s="18">
        <v>11.08</v>
      </c>
      <c r="E188" s="12">
        <f>C188*'Reality Constants'!$B$2</f>
        <v>0</v>
      </c>
      <c r="F188" s="12">
        <f>E188 * ('Reality Constants'!$B$3 * 2)</f>
        <v>0</v>
      </c>
      <c r="G188" s="12">
        <f>F188 / 'Reality Constants'!$B$4</f>
        <v>881.8609353</v>
      </c>
      <c r="H188" s="12">
        <f>F188 / 'Reality Constants'!$B$5</f>
        <v>0</v>
      </c>
      <c r="I188" s="13">
        <f t="array" ref="I188">IFERROR(INDEX(all_stable_isotopes_complete_no!A:E, MATCH(B188, all_stable_isotopes_complete_no!B:B, 0), 5),"")</f>
        <v>3.61</v>
      </c>
      <c r="J188" s="12">
        <f t="shared" si="1"/>
        <v>0</v>
      </c>
      <c r="K188" s="12">
        <f t="shared" si="2"/>
        <v>0</v>
      </c>
    </row>
    <row r="189" ht="22.5" customHeight="1">
      <c r="A189" s="17" t="s">
        <v>275</v>
      </c>
      <c r="B189" s="17" t="s">
        <v>658</v>
      </c>
      <c r="C189" s="18">
        <v>140.907657</v>
      </c>
      <c r="D189" s="18">
        <v>100.0</v>
      </c>
      <c r="E189" s="12">
        <f>C189*'Reality Constants'!$B$2</f>
        <v>0</v>
      </c>
      <c r="F189" s="12">
        <f>E189 * ('Reality Constants'!$B$3 * 2)</f>
        <v>0</v>
      </c>
      <c r="G189" s="12">
        <f>F189 / 'Reality Constants'!$B$4</f>
        <v>875.6367825</v>
      </c>
      <c r="H189" s="12">
        <f>F189 / 'Reality Constants'!$B$5</f>
        <v>0</v>
      </c>
      <c r="I189" s="13">
        <f t="array" ref="I189">IFERROR(INDEX(all_stable_isotopes_complete_no!A:E, MATCH(B189, all_stable_isotopes_complete_no!B:B, 0), 5),"")</f>
        <v>95.02</v>
      </c>
      <c r="J189" s="12">
        <f t="shared" si="1"/>
        <v>0</v>
      </c>
      <c r="K189" s="12">
        <f t="shared" si="2"/>
        <v>0</v>
      </c>
    </row>
    <row r="190" ht="22.5" customHeight="1">
      <c r="A190" s="17" t="s">
        <v>277</v>
      </c>
      <c r="B190" s="17" t="s">
        <v>659</v>
      </c>
      <c r="C190" s="18">
        <v>141.907731</v>
      </c>
      <c r="D190" s="18">
        <v>27.13</v>
      </c>
      <c r="E190" s="12">
        <f>C190*'Reality Constants'!$B$2</f>
        <v>0</v>
      </c>
      <c r="F190" s="12">
        <f>E190 * ('Reality Constants'!$B$3 * 2)</f>
        <v>0</v>
      </c>
      <c r="G190" s="12">
        <f>F190 / 'Reality Constants'!$B$4</f>
        <v>881.8515021</v>
      </c>
      <c r="H190" s="12">
        <f>F190 / 'Reality Constants'!$B$5</f>
        <v>0</v>
      </c>
      <c r="I190" s="13">
        <f t="array" ref="I190">IFERROR(INDEX(all_stable_isotopes_complete_no!A:E, MATCH(B190, all_stable_isotopes_complete_no!B:B, 0), 5),"")</f>
        <v>87.86</v>
      </c>
      <c r="J190" s="12">
        <f t="shared" si="1"/>
        <v>0</v>
      </c>
      <c r="K190" s="12">
        <f t="shared" si="2"/>
        <v>0</v>
      </c>
    </row>
    <row r="191" ht="22.5" customHeight="1">
      <c r="A191" s="17" t="s">
        <v>277</v>
      </c>
      <c r="B191" s="17" t="s">
        <v>660</v>
      </c>
      <c r="C191" s="18">
        <v>142.909823</v>
      </c>
      <c r="D191" s="18">
        <v>12.18</v>
      </c>
      <c r="E191" s="12">
        <f>C191*'Reality Constants'!$B$2</f>
        <v>0</v>
      </c>
      <c r="F191" s="12">
        <f>E191 * ('Reality Constants'!$B$3 * 2)</f>
        <v>0</v>
      </c>
      <c r="G191" s="12">
        <f>F191 / 'Reality Constants'!$B$4</f>
        <v>888.0787621</v>
      </c>
      <c r="H191" s="12">
        <f>F191 / 'Reality Constants'!$B$5</f>
        <v>0</v>
      </c>
      <c r="I191" s="13">
        <f t="array" ref="I191">IFERROR(INDEX(all_stable_isotopes_complete_no!A:E, MATCH(B191, all_stable_isotopes_complete_no!B:B, 0), 5),"")</f>
        <v>87.86</v>
      </c>
      <c r="J191" s="12">
        <f t="shared" si="1"/>
        <v>0</v>
      </c>
      <c r="K191" s="12">
        <f t="shared" si="2"/>
        <v>0</v>
      </c>
    </row>
    <row r="192" ht="22.5" customHeight="1">
      <c r="A192" s="17" t="s">
        <v>277</v>
      </c>
      <c r="B192" s="17" t="s">
        <v>661</v>
      </c>
      <c r="C192" s="18">
        <v>143.910096</v>
      </c>
      <c r="D192" s="18">
        <v>23.8</v>
      </c>
      <c r="E192" s="12">
        <f>C192*'Reality Constants'!$B$2</f>
        <v>0</v>
      </c>
      <c r="F192" s="12">
        <f>E192 * ('Reality Constants'!$B$3 * 2)</f>
        <v>0</v>
      </c>
      <c r="G192" s="12">
        <f>F192 / 'Reality Constants'!$B$4</f>
        <v>894.2947183</v>
      </c>
      <c r="H192" s="12">
        <f>F192 / 'Reality Constants'!$B$5</f>
        <v>0</v>
      </c>
      <c r="I192" s="13">
        <f t="array" ref="I192">IFERROR(INDEX(all_stable_isotopes_complete_no!A:E, MATCH(B192, all_stable_isotopes_complete_no!B:B, 0), 5),"")</f>
        <v>87.86</v>
      </c>
      <c r="J192" s="12">
        <f t="shared" si="1"/>
        <v>0</v>
      </c>
      <c r="K192" s="12">
        <f t="shared" si="2"/>
        <v>0</v>
      </c>
    </row>
    <row r="193" ht="22.5" customHeight="1">
      <c r="A193" s="17" t="s">
        <v>277</v>
      </c>
      <c r="B193" s="17" t="s">
        <v>662</v>
      </c>
      <c r="C193" s="18">
        <v>144.912582</v>
      </c>
      <c r="D193" s="18">
        <v>8.3</v>
      </c>
      <c r="E193" s="12">
        <f>C193*'Reality Constants'!$B$2</f>
        <v>0</v>
      </c>
      <c r="F193" s="12">
        <f>E193 * ('Reality Constants'!$B$3 * 2)</f>
        <v>0</v>
      </c>
      <c r="G193" s="12">
        <f>F193 / 'Reality Constants'!$B$4</f>
        <v>900.5244267</v>
      </c>
      <c r="H193" s="12">
        <f>F193 / 'Reality Constants'!$B$5</f>
        <v>0</v>
      </c>
      <c r="I193" s="13">
        <f t="array" ref="I193">IFERROR(INDEX(all_stable_isotopes_complete_no!A:E, MATCH(B193, all_stable_isotopes_complete_no!B:B, 0), 5),"")</f>
        <v>87.86</v>
      </c>
      <c r="J193" s="12">
        <f t="shared" si="1"/>
        <v>0</v>
      </c>
      <c r="K193" s="12">
        <f t="shared" si="2"/>
        <v>0</v>
      </c>
    </row>
    <row r="194" ht="22.5" customHeight="1">
      <c r="A194" s="17" t="s">
        <v>277</v>
      </c>
      <c r="B194" s="17" t="s">
        <v>663</v>
      </c>
      <c r="C194" s="18">
        <v>145.913126</v>
      </c>
      <c r="D194" s="18">
        <v>17.19</v>
      </c>
      <c r="E194" s="12">
        <f>C194*'Reality Constants'!$B$2</f>
        <v>0</v>
      </c>
      <c r="F194" s="12">
        <f>E194 * ('Reality Constants'!$B$3 * 2)</f>
        <v>0</v>
      </c>
      <c r="G194" s="12">
        <f>F194 / 'Reality Constants'!$B$4</f>
        <v>906.742067</v>
      </c>
      <c r="H194" s="12">
        <f>F194 / 'Reality Constants'!$B$5</f>
        <v>0</v>
      </c>
      <c r="I194" s="13">
        <f t="array" ref="I194">IFERROR(INDEX(all_stable_isotopes_complete_no!A:E, MATCH(B194, all_stable_isotopes_complete_no!B:B, 0), 5),"")</f>
        <v>87.86</v>
      </c>
      <c r="J194" s="12">
        <f t="shared" si="1"/>
        <v>0</v>
      </c>
      <c r="K194" s="12">
        <f t="shared" si="2"/>
        <v>0</v>
      </c>
    </row>
    <row r="195" ht="22.5" customHeight="1">
      <c r="A195" s="17" t="s">
        <v>277</v>
      </c>
      <c r="B195" s="17" t="s">
        <v>664</v>
      </c>
      <c r="C195" s="18">
        <v>147.916901</v>
      </c>
      <c r="D195" s="18">
        <v>5.76</v>
      </c>
      <c r="E195" s="12">
        <f>C195*'Reality Constants'!$B$2</f>
        <v>0</v>
      </c>
      <c r="F195" s="12">
        <f>E195 * ('Reality Constants'!$B$3 * 2)</f>
        <v>0</v>
      </c>
      <c r="G195" s="12">
        <f>F195 / 'Reality Constants'!$B$4</f>
        <v>919.1940454</v>
      </c>
      <c r="H195" s="12">
        <f>F195 / 'Reality Constants'!$B$5</f>
        <v>0</v>
      </c>
      <c r="I195" s="13">
        <f t="array" ref="I195">IFERROR(INDEX(all_stable_isotopes_complete_no!A:E, MATCH(B195, all_stable_isotopes_complete_no!B:B, 0), 5),"")</f>
        <v>87.86</v>
      </c>
      <c r="J195" s="12">
        <f t="shared" si="1"/>
        <v>0</v>
      </c>
      <c r="K195" s="12">
        <f t="shared" si="2"/>
        <v>0</v>
      </c>
    </row>
    <row r="196" ht="22.5" customHeight="1">
      <c r="A196" s="17" t="s">
        <v>277</v>
      </c>
      <c r="B196" s="17" t="s">
        <v>665</v>
      </c>
      <c r="C196" s="18">
        <v>149.9209</v>
      </c>
      <c r="D196" s="18">
        <v>5.64</v>
      </c>
      <c r="E196" s="12">
        <f>C196*'Reality Constants'!$B$2</f>
        <v>0</v>
      </c>
      <c r="F196" s="12">
        <f>E196 * ('Reality Constants'!$B$3 * 2)</f>
        <v>0</v>
      </c>
      <c r="G196" s="12">
        <f>F196 / 'Reality Constants'!$B$4</f>
        <v>931.6474157</v>
      </c>
      <c r="H196" s="12">
        <f>F196 / 'Reality Constants'!$B$5</f>
        <v>0</v>
      </c>
      <c r="I196" s="13">
        <f t="array" ref="I196">IFERROR(INDEX(all_stable_isotopes_complete_no!A:E, MATCH(B196, all_stable_isotopes_complete_no!B:B, 0), 5),"")</f>
        <v>87.86</v>
      </c>
      <c r="J196" s="12">
        <f t="shared" si="1"/>
        <v>0</v>
      </c>
      <c r="K196" s="12">
        <f t="shared" si="2"/>
        <v>0</v>
      </c>
    </row>
    <row r="197" ht="22.5" customHeight="1">
      <c r="A197" s="17" t="s">
        <v>282</v>
      </c>
      <c r="B197" s="17" t="s">
        <v>666</v>
      </c>
      <c r="C197" s="18">
        <v>143.912009</v>
      </c>
      <c r="D197" s="18">
        <v>3.1</v>
      </c>
      <c r="E197" s="12">
        <f>C197*'Reality Constants'!$B$2</f>
        <v>0</v>
      </c>
      <c r="F197" s="12">
        <f>E197 * ('Reality Constants'!$B$3 * 2)</f>
        <v>0</v>
      </c>
      <c r="G197" s="12">
        <f>F197 / 'Reality Constants'!$B$4</f>
        <v>894.3066062</v>
      </c>
      <c r="H197" s="12">
        <f>F197 / 'Reality Constants'!$B$5</f>
        <v>0</v>
      </c>
      <c r="I197" s="13">
        <f t="array" ref="I197">IFERROR(INDEX(all_stable_isotopes_complete_no!A:E, MATCH(B197, all_stable_isotopes_complete_no!B:B, 0), 5),"")</f>
        <v>9.1</v>
      </c>
      <c r="J197" s="12">
        <f t="shared" si="1"/>
        <v>0</v>
      </c>
      <c r="K197" s="12">
        <f t="shared" si="2"/>
        <v>0</v>
      </c>
    </row>
    <row r="198" ht="22.5" customHeight="1">
      <c r="A198" s="17" t="s">
        <v>282</v>
      </c>
      <c r="B198" s="17" t="s">
        <v>667</v>
      </c>
      <c r="C198" s="18">
        <v>146.914907</v>
      </c>
      <c r="D198" s="18">
        <v>15.0</v>
      </c>
      <c r="E198" s="12">
        <f>C198*'Reality Constants'!$B$2</f>
        <v>0</v>
      </c>
      <c r="F198" s="12">
        <f>E198 * ('Reality Constants'!$B$3 * 2)</f>
        <v>0</v>
      </c>
      <c r="G198" s="12">
        <f>F198 / 'Reality Constants'!$B$4</f>
        <v>912.9673944</v>
      </c>
      <c r="H198" s="12">
        <f>F198 / 'Reality Constants'!$B$5</f>
        <v>0</v>
      </c>
      <c r="I198" s="13">
        <f t="array" ref="I198">IFERROR(INDEX(all_stable_isotopes_complete_no!A:E, MATCH(B198, all_stable_isotopes_complete_no!B:B, 0), 5),"")</f>
        <v>9.1</v>
      </c>
      <c r="J198" s="12">
        <f t="shared" si="1"/>
        <v>0</v>
      </c>
      <c r="K198" s="12">
        <f t="shared" si="2"/>
        <v>0</v>
      </c>
    </row>
    <row r="199" ht="22.5" customHeight="1">
      <c r="A199" s="17" t="s">
        <v>282</v>
      </c>
      <c r="B199" s="17" t="s">
        <v>668</v>
      </c>
      <c r="C199" s="18">
        <v>147.914832</v>
      </c>
      <c r="D199" s="18">
        <v>11.3</v>
      </c>
      <c r="E199" s="12">
        <f>C199*'Reality Constants'!$B$2</f>
        <v>0</v>
      </c>
      <c r="F199" s="12">
        <f>E199 * ('Reality Constants'!$B$3 * 2)</f>
        <v>0</v>
      </c>
      <c r="G199" s="12">
        <f>F199 / 'Reality Constants'!$B$4</f>
        <v>919.1811881</v>
      </c>
      <c r="H199" s="12">
        <f>F199 / 'Reality Constants'!$B$5</f>
        <v>0</v>
      </c>
      <c r="I199" s="13">
        <f t="array" ref="I199">IFERROR(INDEX(all_stable_isotopes_complete_no!A:E, MATCH(B199, all_stable_isotopes_complete_no!B:B, 0), 5),"")</f>
        <v>9.1</v>
      </c>
      <c r="J199" s="12">
        <f t="shared" si="1"/>
        <v>0</v>
      </c>
      <c r="K199" s="12">
        <f t="shared" si="2"/>
        <v>0</v>
      </c>
    </row>
    <row r="200" ht="22.5" customHeight="1">
      <c r="A200" s="17" t="s">
        <v>282</v>
      </c>
      <c r="B200" s="17" t="s">
        <v>669</v>
      </c>
      <c r="C200" s="18">
        <v>148.917193</v>
      </c>
      <c r="D200" s="18">
        <v>13.8</v>
      </c>
      <c r="E200" s="12">
        <f>C200*'Reality Constants'!$B$2</f>
        <v>0</v>
      </c>
      <c r="F200" s="12">
        <f>E200 * ('Reality Constants'!$B$3 * 2)</f>
        <v>0</v>
      </c>
      <c r="G200" s="12">
        <f>F200 / 'Reality Constants'!$B$4</f>
        <v>925.4101197</v>
      </c>
      <c r="H200" s="12">
        <f>F200 / 'Reality Constants'!$B$5</f>
        <v>0</v>
      </c>
      <c r="I200" s="13">
        <f t="array" ref="I200">IFERROR(INDEX(all_stable_isotopes_complete_no!A:E, MATCH(B200, all_stable_isotopes_complete_no!B:B, 0), 5),"")</f>
        <v>9.1</v>
      </c>
      <c r="J200" s="12">
        <f t="shared" si="1"/>
        <v>0</v>
      </c>
      <c r="K200" s="12">
        <f t="shared" si="2"/>
        <v>0</v>
      </c>
    </row>
    <row r="201" ht="22.5" customHeight="1">
      <c r="A201" s="17" t="s">
        <v>282</v>
      </c>
      <c r="B201" s="17" t="s">
        <v>670</v>
      </c>
      <c r="C201" s="18">
        <v>149.917285</v>
      </c>
      <c r="D201" s="18">
        <v>7.4</v>
      </c>
      <c r="E201" s="12">
        <f>C201*'Reality Constants'!$B$2</f>
        <v>0</v>
      </c>
      <c r="F201" s="12">
        <f>E201 * ('Reality Constants'!$B$3 * 2)</f>
        <v>0</v>
      </c>
      <c r="G201" s="12">
        <f>F201 / 'Reality Constants'!$B$4</f>
        <v>931.6249512</v>
      </c>
      <c r="H201" s="12">
        <f>F201 / 'Reality Constants'!$B$5</f>
        <v>0</v>
      </c>
      <c r="I201" s="13">
        <f t="array" ref="I201">IFERROR(INDEX(all_stable_isotopes_complete_no!A:E, MATCH(B201, all_stable_isotopes_complete_no!B:B, 0), 5),"")</f>
        <v>9.1</v>
      </c>
      <c r="J201" s="12">
        <f t="shared" si="1"/>
        <v>0</v>
      </c>
      <c r="K201" s="12">
        <f t="shared" si="2"/>
        <v>0</v>
      </c>
    </row>
    <row r="202" ht="22.5" customHeight="1">
      <c r="A202" s="17" t="s">
        <v>282</v>
      </c>
      <c r="B202" s="17" t="s">
        <v>671</v>
      </c>
      <c r="C202" s="18">
        <v>151.919741</v>
      </c>
      <c r="D202" s="18">
        <v>26.7</v>
      </c>
      <c r="E202" s="12">
        <f>C202*'Reality Constants'!$B$2</f>
        <v>0</v>
      </c>
      <c r="F202" s="12">
        <f>E202 * ('Reality Constants'!$B$3 * 2)</f>
        <v>0</v>
      </c>
      <c r="G202" s="12">
        <f>F202 / 'Reality Constants'!$B$4</f>
        <v>944.0687329</v>
      </c>
      <c r="H202" s="12">
        <f>F202 / 'Reality Constants'!$B$5</f>
        <v>0</v>
      </c>
      <c r="I202" s="13">
        <f t="array" ref="I202">IFERROR(INDEX(all_stable_isotopes_complete_no!A:E, MATCH(B202, all_stable_isotopes_complete_no!B:B, 0), 5),"")</f>
        <v>9.1</v>
      </c>
      <c r="J202" s="12">
        <f t="shared" si="1"/>
        <v>0</v>
      </c>
      <c r="K202" s="12">
        <f t="shared" si="2"/>
        <v>0</v>
      </c>
    </row>
    <row r="203" ht="22.5" customHeight="1">
      <c r="A203" s="17" t="s">
        <v>282</v>
      </c>
      <c r="B203" s="17" t="s">
        <v>672</v>
      </c>
      <c r="C203" s="18">
        <v>153.922218</v>
      </c>
      <c r="D203" s="18">
        <v>22.7</v>
      </c>
      <c r="E203" s="12">
        <f>C203*'Reality Constants'!$B$2</f>
        <v>0</v>
      </c>
      <c r="F203" s="12">
        <f>E203 * ('Reality Constants'!$B$3 * 2)</f>
        <v>0</v>
      </c>
      <c r="G203" s="12">
        <f>F203 / 'Reality Constants'!$B$4</f>
        <v>956.5126451</v>
      </c>
      <c r="H203" s="12">
        <f>F203 / 'Reality Constants'!$B$5</f>
        <v>0</v>
      </c>
      <c r="I203" s="13">
        <f t="array" ref="I203">IFERROR(INDEX(all_stable_isotopes_complete_no!A:E, MATCH(B203, all_stable_isotopes_complete_no!B:B, 0), 5),"")</f>
        <v>9.1</v>
      </c>
      <c r="J203" s="12">
        <f t="shared" si="1"/>
        <v>0</v>
      </c>
      <c r="K203" s="12">
        <f t="shared" si="2"/>
        <v>0</v>
      </c>
    </row>
    <row r="204" ht="22.5" customHeight="1">
      <c r="A204" s="17" t="s">
        <v>292</v>
      </c>
      <c r="B204" s="17" t="s">
        <v>673</v>
      </c>
      <c r="C204" s="18">
        <v>150.91986</v>
      </c>
      <c r="D204" s="18">
        <v>47.8</v>
      </c>
      <c r="E204" s="12">
        <f>C204*'Reality Constants'!$B$2</f>
        <v>0</v>
      </c>
      <c r="F204" s="12">
        <f>E204 * ('Reality Constants'!$B$3 * 2)</f>
        <v>0</v>
      </c>
      <c r="G204" s="12">
        <f>F204 / 'Reality Constants'!$B$4</f>
        <v>937.8552126</v>
      </c>
      <c r="H204" s="12">
        <f>F204 / 'Reality Constants'!$B$5</f>
        <v>0</v>
      </c>
      <c r="I204" s="13">
        <f t="array" ref="I204">IFERROR(INDEX(all_stable_isotopes_complete_no!A:E, MATCH(B204, all_stable_isotopes_complete_no!B:B, 0), 5),"")</f>
        <v>19.66</v>
      </c>
      <c r="J204" s="12">
        <f t="shared" si="1"/>
        <v>0</v>
      </c>
      <c r="K204" s="12">
        <f t="shared" si="2"/>
        <v>0</v>
      </c>
    </row>
    <row r="205" ht="22.5" customHeight="1">
      <c r="A205" s="17" t="s">
        <v>292</v>
      </c>
      <c r="B205" s="17" t="s">
        <v>674</v>
      </c>
      <c r="C205" s="18">
        <v>152.921243</v>
      </c>
      <c r="D205" s="18">
        <v>52.2</v>
      </c>
      <c r="E205" s="12">
        <f>C205*'Reality Constants'!$B$2</f>
        <v>0</v>
      </c>
      <c r="F205" s="12">
        <f>E205 * ('Reality Constants'!$B$3 * 2)</f>
        <v>0</v>
      </c>
      <c r="G205" s="12">
        <f>F205 / 'Reality Constants'!$B$4</f>
        <v>950.2923265</v>
      </c>
      <c r="H205" s="12">
        <f>F205 / 'Reality Constants'!$B$5</f>
        <v>0</v>
      </c>
      <c r="I205" s="13">
        <f t="array" ref="I205">IFERROR(INDEX(all_stable_isotopes_complete_no!A:E, MATCH(B205, all_stable_isotopes_complete_no!B:B, 0), 5),"")</f>
        <v>19.66</v>
      </c>
      <c r="J205" s="12">
        <f t="shared" si="1"/>
        <v>0</v>
      </c>
      <c r="K205" s="12">
        <f t="shared" si="2"/>
        <v>0</v>
      </c>
    </row>
    <row r="206" ht="22.5" customHeight="1">
      <c r="A206" s="17" t="s">
        <v>295</v>
      </c>
      <c r="B206" s="17" t="s">
        <v>675</v>
      </c>
      <c r="C206" s="18">
        <v>151.919803</v>
      </c>
      <c r="D206" s="18">
        <v>0.2</v>
      </c>
      <c r="E206" s="12">
        <f>C206*'Reality Constants'!$B$2</f>
        <v>0</v>
      </c>
      <c r="F206" s="12">
        <f>E206 * ('Reality Constants'!$B$3 * 2)</f>
        <v>0</v>
      </c>
      <c r="G206" s="12">
        <f>F206 / 'Reality Constants'!$B$4</f>
        <v>944.0691182</v>
      </c>
      <c r="H206" s="12">
        <f>F206 / 'Reality Constants'!$B$5</f>
        <v>0</v>
      </c>
      <c r="I206" s="13">
        <f t="array" ref="I206">IFERROR(INDEX(all_stable_isotopes_complete_no!A:E, MATCH(B206, all_stable_isotopes_complete_no!B:B, 0), 5),"")</f>
        <v>20.09</v>
      </c>
      <c r="J206" s="12">
        <f t="shared" si="1"/>
        <v>0</v>
      </c>
      <c r="K206" s="12">
        <f t="shared" si="2"/>
        <v>0</v>
      </c>
    </row>
    <row r="207" ht="22.5" customHeight="1">
      <c r="A207" s="17" t="s">
        <v>295</v>
      </c>
      <c r="B207" s="17" t="s">
        <v>676</v>
      </c>
      <c r="C207" s="18">
        <v>153.920876</v>
      </c>
      <c r="D207" s="18">
        <v>2.18</v>
      </c>
      <c r="E207" s="12">
        <f>C207*'Reality Constants'!$B$2</f>
        <v>0</v>
      </c>
      <c r="F207" s="12">
        <f>E207 * ('Reality Constants'!$B$3 * 2)</f>
        <v>0</v>
      </c>
      <c r="G207" s="12">
        <f>F207 / 'Reality Constants'!$B$4</f>
        <v>956.5043056</v>
      </c>
      <c r="H207" s="12">
        <f>F207 / 'Reality Constants'!$B$5</f>
        <v>0</v>
      </c>
      <c r="I207" s="13">
        <f t="array" ref="I207">IFERROR(INDEX(all_stable_isotopes_complete_no!A:E, MATCH(B207, all_stable_isotopes_complete_no!B:B, 0), 5),"")</f>
        <v>20.09</v>
      </c>
      <c r="J207" s="12">
        <f t="shared" si="1"/>
        <v>0</v>
      </c>
      <c r="K207" s="12">
        <f t="shared" si="2"/>
        <v>0</v>
      </c>
    </row>
    <row r="208" ht="22.5" customHeight="1">
      <c r="A208" s="17" t="s">
        <v>295</v>
      </c>
      <c r="B208" s="17" t="s">
        <v>677</v>
      </c>
      <c r="C208" s="18">
        <v>154.822629</v>
      </c>
      <c r="D208" s="18">
        <v>14.8</v>
      </c>
      <c r="E208" s="12">
        <f>C208*'Reality Constants'!$B$2</f>
        <v>0</v>
      </c>
      <c r="F208" s="12">
        <f>E208 * ('Reality Constants'!$B$3 * 2)</f>
        <v>0</v>
      </c>
      <c r="G208" s="12">
        <f>F208 / 'Reality Constants'!$B$4</f>
        <v>962.108033</v>
      </c>
      <c r="H208" s="12">
        <f>F208 / 'Reality Constants'!$B$5</f>
        <v>0</v>
      </c>
      <c r="I208" s="13">
        <f t="array" ref="I208">IFERROR(INDEX(all_stable_isotopes_complete_no!A:E, MATCH(B208, all_stable_isotopes_complete_no!B:B, 0), 5),"")</f>
        <v>20.09</v>
      </c>
      <c r="J208" s="12">
        <f t="shared" si="1"/>
        <v>0</v>
      </c>
      <c r="K208" s="12">
        <f t="shared" si="2"/>
        <v>0</v>
      </c>
    </row>
    <row r="209" ht="22.5" customHeight="1">
      <c r="A209" s="17" t="s">
        <v>295</v>
      </c>
      <c r="B209" s="17" t="s">
        <v>678</v>
      </c>
      <c r="C209" s="18">
        <v>155.92213</v>
      </c>
      <c r="D209" s="18">
        <v>20.47</v>
      </c>
      <c r="E209" s="12">
        <f>C209*'Reality Constants'!$B$2</f>
        <v>0</v>
      </c>
      <c r="F209" s="12">
        <f>E209 * ('Reality Constants'!$B$3 * 2)</f>
        <v>0</v>
      </c>
      <c r="G209" s="12">
        <f>F209 / 'Reality Constants'!$B$4</f>
        <v>968.9406178</v>
      </c>
      <c r="H209" s="12">
        <f>F209 / 'Reality Constants'!$B$5</f>
        <v>0</v>
      </c>
      <c r="I209" s="13">
        <f t="array" ref="I209">IFERROR(INDEX(all_stable_isotopes_complete_no!A:E, MATCH(B209, all_stable_isotopes_complete_no!B:B, 0), 5),"")</f>
        <v>20.09</v>
      </c>
      <c r="J209" s="12">
        <f t="shared" si="1"/>
        <v>0</v>
      </c>
      <c r="K209" s="12">
        <f t="shared" si="2"/>
        <v>0</v>
      </c>
    </row>
    <row r="210" ht="22.5" customHeight="1">
      <c r="A210" s="17" t="s">
        <v>295</v>
      </c>
      <c r="B210" s="17" t="s">
        <v>679</v>
      </c>
      <c r="C210" s="18">
        <v>156.923967</v>
      </c>
      <c r="D210" s="18">
        <v>15.65</v>
      </c>
      <c r="E210" s="12">
        <f>C210*'Reality Constants'!$B$2</f>
        <v>0</v>
      </c>
      <c r="F210" s="12">
        <f>E210 * ('Reality Constants'!$B$3 * 2)</f>
        <v>0</v>
      </c>
      <c r="G210" s="12">
        <f>F210 / 'Reality Constants'!$B$4</f>
        <v>975.1662932</v>
      </c>
      <c r="H210" s="12">
        <f>F210 / 'Reality Constants'!$B$5</f>
        <v>0</v>
      </c>
      <c r="I210" s="13">
        <f t="array" ref="I210">IFERROR(INDEX(all_stable_isotopes_complete_no!A:E, MATCH(B210, all_stable_isotopes_complete_no!B:B, 0), 5),"")</f>
        <v>20.09</v>
      </c>
      <c r="J210" s="12">
        <f t="shared" si="1"/>
        <v>0</v>
      </c>
      <c r="K210" s="12">
        <f t="shared" si="2"/>
        <v>0</v>
      </c>
    </row>
    <row r="211" ht="22.5" customHeight="1">
      <c r="A211" s="17" t="s">
        <v>295</v>
      </c>
      <c r="B211" s="17" t="s">
        <v>680</v>
      </c>
      <c r="C211" s="18">
        <v>157.924111</v>
      </c>
      <c r="D211" s="18">
        <v>24.84</v>
      </c>
      <c r="E211" s="12">
        <f>C211*'Reality Constants'!$B$2</f>
        <v>0</v>
      </c>
      <c r="F211" s="12">
        <f>E211 * ('Reality Constants'!$B$3 * 2)</f>
        <v>0</v>
      </c>
      <c r="G211" s="12">
        <f>F211 / 'Reality Constants'!$B$4</f>
        <v>981.3814478</v>
      </c>
      <c r="H211" s="12">
        <f>F211 / 'Reality Constants'!$B$5</f>
        <v>0</v>
      </c>
      <c r="I211" s="13">
        <f t="array" ref="I211">IFERROR(INDEX(all_stable_isotopes_complete_no!A:E, MATCH(B211, all_stable_isotopes_complete_no!B:B, 0), 5),"")</f>
        <v>20.09</v>
      </c>
      <c r="J211" s="12">
        <f t="shared" si="1"/>
        <v>0</v>
      </c>
      <c r="K211" s="12">
        <f t="shared" si="2"/>
        <v>0</v>
      </c>
    </row>
    <row r="212" ht="22.5" customHeight="1">
      <c r="A212" s="17" t="s">
        <v>295</v>
      </c>
      <c r="B212" s="17" t="s">
        <v>681</v>
      </c>
      <c r="C212" s="18">
        <v>159.927061</v>
      </c>
      <c r="D212" s="18">
        <v>21.86</v>
      </c>
      <c r="E212" s="12">
        <f>C212*'Reality Constants'!$B$2</f>
        <v>0</v>
      </c>
      <c r="F212" s="12">
        <f>E212 * ('Reality Constants'!$B$3 * 2)</f>
        <v>0</v>
      </c>
      <c r="G212" s="12">
        <f>F212 / 'Reality Constants'!$B$4</f>
        <v>993.8282994</v>
      </c>
      <c r="H212" s="12">
        <f>F212 / 'Reality Constants'!$B$5</f>
        <v>0</v>
      </c>
      <c r="I212" s="13">
        <f t="array" ref="I212">IFERROR(INDEX(all_stable_isotopes_complete_no!A:E, MATCH(B212, all_stable_isotopes_complete_no!B:B, 0), 5),"")</f>
        <v>20.09</v>
      </c>
      <c r="J212" s="12">
        <f t="shared" si="1"/>
        <v>0</v>
      </c>
      <c r="K212" s="12">
        <f t="shared" si="2"/>
        <v>0</v>
      </c>
    </row>
    <row r="213" ht="22.5" customHeight="1">
      <c r="A213" s="17" t="s">
        <v>307</v>
      </c>
      <c r="B213" s="17" t="s">
        <v>682</v>
      </c>
      <c r="C213" s="18">
        <v>158.92535</v>
      </c>
      <c r="D213" s="18">
        <v>100.0</v>
      </c>
      <c r="E213" s="12">
        <f>C213*'Reality Constants'!$B$2</f>
        <v>0</v>
      </c>
      <c r="F213" s="12">
        <f>E213 * ('Reality Constants'!$B$3 * 2)</f>
        <v>0</v>
      </c>
      <c r="G213" s="12">
        <f>F213 / 'Reality Constants'!$B$4</f>
        <v>987.603407</v>
      </c>
      <c r="H213" s="12">
        <f>F213 / 'Reality Constants'!$B$5</f>
        <v>0</v>
      </c>
      <c r="I213" s="13">
        <f t="array" ref="I213">IFERROR(INDEX(all_stable_isotopes_complete_no!A:E, MATCH(B213, all_stable_isotopes_complete_no!B:B, 0), 5),"")</f>
        <v>1006.28</v>
      </c>
      <c r="J213" s="12">
        <f t="shared" si="1"/>
        <v>0</v>
      </c>
      <c r="K213" s="12">
        <f t="shared" si="2"/>
        <v>0</v>
      </c>
    </row>
    <row r="214" ht="22.5" customHeight="1">
      <c r="A214" s="17" t="s">
        <v>302</v>
      </c>
      <c r="B214" s="17" t="s">
        <v>683</v>
      </c>
      <c r="C214" s="18">
        <v>155.924287</v>
      </c>
      <c r="D214" s="18">
        <v>0.06</v>
      </c>
      <c r="E214" s="12">
        <f>C214*'Reality Constants'!$B$2</f>
        <v>0</v>
      </c>
      <c r="F214" s="12">
        <f>E214 * ('Reality Constants'!$B$3 * 2)</f>
        <v>0</v>
      </c>
      <c r="G214" s="12">
        <f>F214 / 'Reality Constants'!$B$4</f>
        <v>968.954022</v>
      </c>
      <c r="H214" s="12">
        <f>F214 / 'Reality Constants'!$B$5</f>
        <v>0</v>
      </c>
      <c r="I214" s="13">
        <f t="array" ref="I214">IFERROR(INDEX(all_stable_isotopes_complete_no!A:E, MATCH(B214, all_stable_isotopes_complete_no!B:B, 0), 5),"")</f>
        <v>235.53</v>
      </c>
      <c r="J214" s="12">
        <f t="shared" si="1"/>
        <v>0</v>
      </c>
      <c r="K214" s="12">
        <f t="shared" si="2"/>
        <v>0</v>
      </c>
    </row>
    <row r="215" ht="22.5" customHeight="1">
      <c r="A215" s="17" t="s">
        <v>302</v>
      </c>
      <c r="B215" s="17" t="s">
        <v>684</v>
      </c>
      <c r="C215" s="18">
        <v>157.924412</v>
      </c>
      <c r="D215" s="18">
        <v>0.1</v>
      </c>
      <c r="E215" s="12">
        <f>C215*'Reality Constants'!$B$2</f>
        <v>0</v>
      </c>
      <c r="F215" s="12">
        <f>E215 * ('Reality Constants'!$B$3 * 2)</f>
        <v>0</v>
      </c>
      <c r="G215" s="12">
        <f>F215 / 'Reality Constants'!$B$4</f>
        <v>981.3833183</v>
      </c>
      <c r="H215" s="12">
        <f>F215 / 'Reality Constants'!$B$5</f>
        <v>0</v>
      </c>
      <c r="I215" s="13">
        <f t="array" ref="I215">IFERROR(INDEX(all_stable_isotopes_complete_no!A:E, MATCH(B215, all_stable_isotopes_complete_no!B:B, 0), 5),"")</f>
        <v>235.53</v>
      </c>
      <c r="J215" s="12">
        <f t="shared" si="1"/>
        <v>0</v>
      </c>
      <c r="K215" s="12">
        <f t="shared" si="2"/>
        <v>0</v>
      </c>
    </row>
    <row r="216" ht="22.5" customHeight="1">
      <c r="A216" s="17" t="s">
        <v>302</v>
      </c>
      <c r="B216" s="17" t="s">
        <v>685</v>
      </c>
      <c r="C216" s="18">
        <v>159.925203</v>
      </c>
      <c r="D216" s="18">
        <v>2.34</v>
      </c>
      <c r="E216" s="12">
        <f>C216*'Reality Constants'!$B$2</f>
        <v>0</v>
      </c>
      <c r="F216" s="12">
        <f>E216 * ('Reality Constants'!$B$3 * 2)</f>
        <v>0</v>
      </c>
      <c r="G216" s="12">
        <f>F216 / 'Reality Constants'!$B$4</f>
        <v>993.8167533</v>
      </c>
      <c r="H216" s="12">
        <f>F216 / 'Reality Constants'!$B$5</f>
        <v>0</v>
      </c>
      <c r="I216" s="13">
        <f t="array" ref="I216">IFERROR(INDEX(all_stable_isotopes_complete_no!A:E, MATCH(B216, all_stable_isotopes_complete_no!B:B, 0), 5),"")</f>
        <v>235.53</v>
      </c>
      <c r="J216" s="12">
        <f t="shared" si="1"/>
        <v>0</v>
      </c>
      <c r="K216" s="12">
        <f t="shared" si="2"/>
        <v>0</v>
      </c>
    </row>
    <row r="217" ht="22.5" customHeight="1">
      <c r="A217" s="17" t="s">
        <v>302</v>
      </c>
      <c r="B217" s="17" t="s">
        <v>686</v>
      </c>
      <c r="C217" s="18">
        <v>160.926939</v>
      </c>
      <c r="D217" s="18">
        <v>18.9</v>
      </c>
      <c r="E217" s="12">
        <f>C217*'Reality Constants'!$B$2</f>
        <v>0</v>
      </c>
      <c r="F217" s="12">
        <f>E217 * ('Reality Constants'!$B$3 * 2)</f>
        <v>0</v>
      </c>
      <c r="G217" s="12">
        <f>F217 / 'Reality Constants'!$B$4</f>
        <v>1000.041801</v>
      </c>
      <c r="H217" s="12">
        <f>F217 / 'Reality Constants'!$B$5</f>
        <v>0</v>
      </c>
      <c r="I217" s="13">
        <f t="array" ref="I217">IFERROR(INDEX(all_stable_isotopes_complete_no!A:E, MATCH(B217, all_stable_isotopes_complete_no!B:B, 0), 5),"")</f>
        <v>235.53</v>
      </c>
      <c r="J217" s="12">
        <f t="shared" si="1"/>
        <v>0</v>
      </c>
      <c r="K217" s="12">
        <f t="shared" si="2"/>
        <v>0</v>
      </c>
    </row>
    <row r="218" ht="22.5" customHeight="1">
      <c r="A218" s="17" t="s">
        <v>302</v>
      </c>
      <c r="B218" s="17" t="s">
        <v>687</v>
      </c>
      <c r="C218" s="18">
        <v>161.926805</v>
      </c>
      <c r="D218" s="18">
        <v>25.5</v>
      </c>
      <c r="E218" s="12">
        <f>C218*'Reality Constants'!$B$2</f>
        <v>0</v>
      </c>
      <c r="F218" s="12">
        <f>E218 * ('Reality Constants'!$B$3 * 2)</f>
        <v>0</v>
      </c>
      <c r="G218" s="12">
        <f>F218 / 'Reality Constants'!$B$4</f>
        <v>1006.255228</v>
      </c>
      <c r="H218" s="12">
        <f>F218 / 'Reality Constants'!$B$5</f>
        <v>0</v>
      </c>
      <c r="I218" s="13">
        <f t="array" ref="I218">IFERROR(INDEX(all_stable_isotopes_complete_no!A:E, MATCH(B218, all_stable_isotopes_complete_no!B:B, 0), 5),"")</f>
        <v>235.53</v>
      </c>
      <c r="J218" s="12">
        <f t="shared" si="1"/>
        <v>0</v>
      </c>
      <c r="K218" s="12">
        <f t="shared" si="2"/>
        <v>0</v>
      </c>
    </row>
    <row r="219" ht="22.5" customHeight="1">
      <c r="A219" s="17" t="s">
        <v>302</v>
      </c>
      <c r="B219" s="17" t="s">
        <v>688</v>
      </c>
      <c r="C219" s="18">
        <v>162.928737</v>
      </c>
      <c r="D219" s="18">
        <v>24.9</v>
      </c>
      <c r="E219" s="12">
        <f>C219*'Reality Constants'!$B$2</f>
        <v>0</v>
      </c>
      <c r="F219" s="12">
        <f>E219 * ('Reality Constants'!$B$3 * 2)</f>
        <v>0</v>
      </c>
      <c r="G219" s="12">
        <f>F219 / 'Reality Constants'!$B$4</f>
        <v>1012.481494</v>
      </c>
      <c r="H219" s="12">
        <f>F219 / 'Reality Constants'!$B$5</f>
        <v>0</v>
      </c>
      <c r="I219" s="13">
        <f t="array" ref="I219">IFERROR(INDEX(all_stable_isotopes_complete_no!A:E, MATCH(B219, all_stable_isotopes_complete_no!B:B, 0), 5),"")</f>
        <v>235.53</v>
      </c>
      <c r="J219" s="12">
        <f t="shared" si="1"/>
        <v>0</v>
      </c>
      <c r="K219" s="12">
        <f t="shared" si="2"/>
        <v>0</v>
      </c>
    </row>
    <row r="220" ht="22.5" customHeight="1">
      <c r="A220" s="17" t="s">
        <v>302</v>
      </c>
      <c r="B220" s="17" t="s">
        <v>689</v>
      </c>
      <c r="C220" s="18">
        <v>163.929183</v>
      </c>
      <c r="D220" s="18">
        <v>28.2</v>
      </c>
      <c r="E220" s="12">
        <f>C220*'Reality Constants'!$B$2</f>
        <v>0</v>
      </c>
      <c r="F220" s="12">
        <f>E220 * ('Reality Constants'!$B$3 * 2)</f>
        <v>0</v>
      </c>
      <c r="G220" s="12">
        <f>F220 / 'Reality Constants'!$B$4</f>
        <v>1018.698525</v>
      </c>
      <c r="H220" s="12">
        <f>F220 / 'Reality Constants'!$B$5</f>
        <v>0</v>
      </c>
      <c r="I220" s="13">
        <f t="array" ref="I220">IFERROR(INDEX(all_stable_isotopes_complete_no!A:E, MATCH(B220, all_stable_isotopes_complete_no!B:B, 0), 5),"")</f>
        <v>235.53</v>
      </c>
      <c r="J220" s="12">
        <f t="shared" si="1"/>
        <v>0</v>
      </c>
      <c r="K220" s="12">
        <f t="shared" si="2"/>
        <v>0</v>
      </c>
    </row>
    <row r="221" ht="22.5" customHeight="1">
      <c r="A221" s="17" t="s">
        <v>318</v>
      </c>
      <c r="B221" s="17" t="s">
        <v>690</v>
      </c>
      <c r="C221" s="18">
        <v>164.930332</v>
      </c>
      <c r="D221" s="18">
        <v>100.0</v>
      </c>
      <c r="E221" s="12">
        <f>C221*'Reality Constants'!$B$2</f>
        <v>0</v>
      </c>
      <c r="F221" s="12">
        <f>E221 * ('Reality Constants'!$B$3 * 2)</f>
        <v>0</v>
      </c>
      <c r="G221" s="12">
        <f>F221 / 'Reality Constants'!$B$4</f>
        <v>1024.919925</v>
      </c>
      <c r="H221" s="12">
        <f>F221 / 'Reality Constants'!$B$5</f>
        <v>0</v>
      </c>
      <c r="I221" s="13">
        <f t="array" ref="I221">IFERROR(INDEX(all_stable_isotopes_complete_no!A:E, MATCH(B221, all_stable_isotopes_complete_no!B:B, 0), 5),"")</f>
        <v>62.25</v>
      </c>
      <c r="J221" s="12">
        <f t="shared" si="1"/>
        <v>0</v>
      </c>
      <c r="K221" s="12">
        <f t="shared" si="2"/>
        <v>0</v>
      </c>
    </row>
    <row r="222" ht="22.5" customHeight="1">
      <c r="A222" s="17" t="s">
        <v>313</v>
      </c>
      <c r="B222" s="17" t="s">
        <v>691</v>
      </c>
      <c r="C222" s="18">
        <v>161.928787</v>
      </c>
      <c r="D222" s="18">
        <v>0.14</v>
      </c>
      <c r="E222" s="12">
        <f>C222*'Reality Constants'!$B$2</f>
        <v>0</v>
      </c>
      <c r="F222" s="12">
        <f>E222 * ('Reality Constants'!$B$3 * 2)</f>
        <v>0</v>
      </c>
      <c r="G222" s="12">
        <f>F222 / 'Reality Constants'!$B$4</f>
        <v>1006.267545</v>
      </c>
      <c r="H222" s="12">
        <f>F222 / 'Reality Constants'!$B$5</f>
        <v>0</v>
      </c>
      <c r="I222" s="13">
        <f t="array" ref="I222">IFERROR(INDEX(all_stable_isotopes_complete_no!A:E, MATCH(B222, all_stable_isotopes_complete_no!B:B, 0), 5),"")</f>
        <v>39.63</v>
      </c>
      <c r="J222" s="12">
        <f t="shared" si="1"/>
        <v>0</v>
      </c>
      <c r="K222" s="12">
        <f t="shared" si="2"/>
        <v>0</v>
      </c>
    </row>
    <row r="223" ht="22.5" customHeight="1">
      <c r="A223" s="17" t="s">
        <v>313</v>
      </c>
      <c r="B223" s="17" t="s">
        <v>692</v>
      </c>
      <c r="C223" s="18">
        <v>163.929211</v>
      </c>
      <c r="D223" s="18">
        <v>1.61</v>
      </c>
      <c r="E223" s="12">
        <f>C223*'Reality Constants'!$B$2</f>
        <v>0</v>
      </c>
      <c r="F223" s="12">
        <f>E223 * ('Reality Constants'!$B$3 * 2)</f>
        <v>0</v>
      </c>
      <c r="G223" s="12">
        <f>F223 / 'Reality Constants'!$B$4</f>
        <v>1018.698699</v>
      </c>
      <c r="H223" s="12">
        <f>F223 / 'Reality Constants'!$B$5</f>
        <v>0</v>
      </c>
      <c r="I223" s="13">
        <f t="array" ref="I223">IFERROR(INDEX(all_stable_isotopes_complete_no!A:E, MATCH(B223, all_stable_isotopes_complete_no!B:B, 0), 5),"")</f>
        <v>39.63</v>
      </c>
      <c r="J223" s="12">
        <f t="shared" si="1"/>
        <v>0</v>
      </c>
      <c r="K223" s="12">
        <f t="shared" si="2"/>
        <v>0</v>
      </c>
    </row>
    <row r="224" ht="22.5" customHeight="1">
      <c r="A224" s="17" t="s">
        <v>313</v>
      </c>
      <c r="B224" s="17" t="s">
        <v>693</v>
      </c>
      <c r="C224" s="18">
        <v>165.930305</v>
      </c>
      <c r="D224" s="18">
        <v>33.6</v>
      </c>
      <c r="E224" s="12">
        <f>C224*'Reality Constants'!$B$2</f>
        <v>0</v>
      </c>
      <c r="F224" s="12">
        <f>E224 * ('Reality Constants'!$B$3 * 2)</f>
        <v>0</v>
      </c>
      <c r="G224" s="12">
        <f>F224 / 'Reality Constants'!$B$4</f>
        <v>1031.134017</v>
      </c>
      <c r="H224" s="12">
        <f>F224 / 'Reality Constants'!$B$5</f>
        <v>0</v>
      </c>
      <c r="I224" s="13">
        <f t="array" ref="I224">IFERROR(INDEX(all_stable_isotopes_complete_no!A:E, MATCH(B224, all_stable_isotopes_complete_no!B:B, 0), 5),"")</f>
        <v>39.63</v>
      </c>
      <c r="J224" s="12">
        <f t="shared" si="1"/>
        <v>0</v>
      </c>
      <c r="K224" s="12">
        <f t="shared" si="2"/>
        <v>0</v>
      </c>
    </row>
    <row r="225" ht="22.5" customHeight="1">
      <c r="A225" s="17" t="s">
        <v>313</v>
      </c>
      <c r="B225" s="17" t="s">
        <v>694</v>
      </c>
      <c r="C225" s="18">
        <v>166.932061</v>
      </c>
      <c r="D225" s="18">
        <v>22.95</v>
      </c>
      <c r="E225" s="12">
        <f>C225*'Reality Constants'!$B$2</f>
        <v>0</v>
      </c>
      <c r="F225" s="12">
        <f>E225 * ('Reality Constants'!$B$3 * 2)</f>
        <v>0</v>
      </c>
      <c r="G225" s="12">
        <f>F225 / 'Reality Constants'!$B$4</f>
        <v>1037.359189</v>
      </c>
      <c r="H225" s="12">
        <f>F225 / 'Reality Constants'!$B$5</f>
        <v>0</v>
      </c>
      <c r="I225" s="13">
        <f t="array" ref="I225">IFERROR(INDEX(all_stable_isotopes_complete_no!A:E, MATCH(B225, all_stable_isotopes_complete_no!B:B, 0), 5),"")</f>
        <v>39.63</v>
      </c>
      <c r="J225" s="12">
        <f t="shared" si="1"/>
        <v>0</v>
      </c>
      <c r="K225" s="12">
        <f t="shared" si="2"/>
        <v>0</v>
      </c>
    </row>
    <row r="226" ht="22.5" customHeight="1">
      <c r="A226" s="17" t="s">
        <v>313</v>
      </c>
      <c r="B226" s="17" t="s">
        <v>695</v>
      </c>
      <c r="C226" s="18">
        <v>167.932383</v>
      </c>
      <c r="D226" s="18">
        <v>26.8</v>
      </c>
      <c r="E226" s="12">
        <f>C226*'Reality Constants'!$B$2</f>
        <v>0</v>
      </c>
      <c r="F226" s="12">
        <f>E226 * ('Reality Constants'!$B$3 * 2)</f>
        <v>0</v>
      </c>
      <c r="G226" s="12">
        <f>F226 / 'Reality Constants'!$B$4</f>
        <v>1043.57545</v>
      </c>
      <c r="H226" s="12">
        <f>F226 / 'Reality Constants'!$B$5</f>
        <v>0</v>
      </c>
      <c r="I226" s="13">
        <f t="array" ref="I226">IFERROR(INDEX(all_stable_isotopes_complete_no!A:E, MATCH(B226, all_stable_isotopes_complete_no!B:B, 0), 5),"")</f>
        <v>39.63</v>
      </c>
      <c r="J226" s="12">
        <f t="shared" si="1"/>
        <v>0</v>
      </c>
      <c r="K226" s="12">
        <f t="shared" si="2"/>
        <v>0</v>
      </c>
    </row>
    <row r="227" ht="22.5" customHeight="1">
      <c r="A227" s="17" t="s">
        <v>313</v>
      </c>
      <c r="B227" s="17" t="s">
        <v>696</v>
      </c>
      <c r="C227" s="18">
        <v>169.935476</v>
      </c>
      <c r="D227" s="18">
        <v>14.9</v>
      </c>
      <c r="E227" s="12">
        <f>C227*'Reality Constants'!$B$2</f>
        <v>0</v>
      </c>
      <c r="F227" s="12">
        <f>E227 * ('Reality Constants'!$B$3 * 2)</f>
        <v>0</v>
      </c>
      <c r="G227" s="12">
        <f>F227 / 'Reality Constants'!$B$4</f>
        <v>1056.02319</v>
      </c>
      <c r="H227" s="12">
        <f>F227 / 'Reality Constants'!$B$5</f>
        <v>0</v>
      </c>
      <c r="I227" s="13">
        <f t="array" ref="I227">IFERROR(INDEX(all_stable_isotopes_complete_no!A:E, MATCH(B227, all_stable_isotopes_complete_no!B:B, 0), 5),"")</f>
        <v>39.63</v>
      </c>
      <c r="J227" s="12">
        <f t="shared" si="1"/>
        <v>0</v>
      </c>
      <c r="K227" s="12">
        <f t="shared" si="2"/>
        <v>0</v>
      </c>
    </row>
    <row r="228" ht="22.5" customHeight="1">
      <c r="A228" s="17" t="s">
        <v>325</v>
      </c>
      <c r="B228" s="17" t="s">
        <v>697</v>
      </c>
      <c r="C228" s="18">
        <v>168.934225</v>
      </c>
      <c r="D228" s="18">
        <v>100.0</v>
      </c>
      <c r="E228" s="12">
        <f>C228*'Reality Constants'!$B$2</f>
        <v>0</v>
      </c>
      <c r="F228" s="12">
        <f>E228 * ('Reality Constants'!$B$3 * 2)</f>
        <v>0</v>
      </c>
      <c r="G228" s="12">
        <f>F228 / 'Reality Constants'!$B$4</f>
        <v>1049.801156</v>
      </c>
      <c r="H228" s="12">
        <f>F228 / 'Reality Constants'!$B$5</f>
        <v>0</v>
      </c>
      <c r="I228" s="13">
        <f t="array" ref="I228">IFERROR(INDEX(all_stable_isotopes_complete_no!A:E, MATCH(B228, all_stable_isotopes_complete_no!B:B, 0), 5),"")</f>
        <v>6200</v>
      </c>
      <c r="J228" s="12">
        <f t="shared" si="1"/>
        <v>0</v>
      </c>
      <c r="K228" s="12">
        <f t="shared" si="2"/>
        <v>0</v>
      </c>
    </row>
    <row r="229" ht="22.5" customHeight="1">
      <c r="A229" s="17" t="s">
        <v>323</v>
      </c>
      <c r="B229" s="17" t="s">
        <v>698</v>
      </c>
      <c r="C229" s="18">
        <v>167.933908</v>
      </c>
      <c r="D229" s="18">
        <v>0.13</v>
      </c>
      <c r="E229" s="12">
        <f>C229*'Reality Constants'!$B$2</f>
        <v>0</v>
      </c>
      <c r="F229" s="12">
        <f>E229 * ('Reality Constants'!$B$3 * 2)</f>
        <v>0</v>
      </c>
      <c r="G229" s="12">
        <f>F229 / 'Reality Constants'!$B$4</f>
        <v>1043.584926</v>
      </c>
      <c r="H229" s="12">
        <f>F229 / 'Reality Constants'!$B$5</f>
        <v>0</v>
      </c>
      <c r="I229" s="13">
        <f t="array" ref="I229">IFERROR(INDEX(all_stable_isotopes_complete_no!A:E, MATCH(B229, all_stable_isotopes_complete_no!B:B, 0), 5),"")</f>
        <v>12.29</v>
      </c>
      <c r="J229" s="12">
        <f t="shared" si="1"/>
        <v>0</v>
      </c>
      <c r="K229" s="12">
        <f t="shared" si="2"/>
        <v>0</v>
      </c>
    </row>
    <row r="230" ht="22.5" customHeight="1">
      <c r="A230" s="17" t="s">
        <v>323</v>
      </c>
      <c r="B230" s="17" t="s">
        <v>699</v>
      </c>
      <c r="C230" s="18">
        <v>169.934774</v>
      </c>
      <c r="D230" s="18">
        <v>3.05</v>
      </c>
      <c r="E230" s="12">
        <f>C230*'Reality Constants'!$B$2</f>
        <v>0</v>
      </c>
      <c r="F230" s="12">
        <f>E230 * ('Reality Constants'!$B$3 * 2)</f>
        <v>0</v>
      </c>
      <c r="G230" s="12">
        <f>F230 / 'Reality Constants'!$B$4</f>
        <v>1056.018828</v>
      </c>
      <c r="H230" s="12">
        <f>F230 / 'Reality Constants'!$B$5</f>
        <v>0</v>
      </c>
      <c r="I230" s="13">
        <f t="array" ref="I230">IFERROR(INDEX(all_stable_isotopes_complete_no!A:E, MATCH(B230, all_stable_isotopes_complete_no!B:B, 0), 5),"")</f>
        <v>12.29</v>
      </c>
      <c r="J230" s="12">
        <f t="shared" si="1"/>
        <v>0</v>
      </c>
      <c r="K230" s="12">
        <f t="shared" si="2"/>
        <v>0</v>
      </c>
    </row>
    <row r="231" ht="22.5" customHeight="1">
      <c r="A231" s="17" t="s">
        <v>323</v>
      </c>
      <c r="B231" s="17" t="s">
        <v>700</v>
      </c>
      <c r="C231" s="18">
        <v>170.936338</v>
      </c>
      <c r="D231" s="18">
        <v>14.3</v>
      </c>
      <c r="E231" s="12">
        <f>C231*'Reality Constants'!$B$2</f>
        <v>0</v>
      </c>
      <c r="F231" s="12">
        <f>E231 * ('Reality Constants'!$B$3 * 2)</f>
        <v>0</v>
      </c>
      <c r="G231" s="12">
        <f>F231 / 'Reality Constants'!$B$4</f>
        <v>1062.242806</v>
      </c>
      <c r="H231" s="12">
        <f>F231 / 'Reality Constants'!$B$5</f>
        <v>0</v>
      </c>
      <c r="I231" s="13">
        <f t="array" ref="I231">IFERROR(INDEX(all_stable_isotopes_complete_no!A:E, MATCH(B231, all_stable_isotopes_complete_no!B:B, 0), 5),"")</f>
        <v>12.29</v>
      </c>
      <c r="J231" s="12">
        <f t="shared" si="1"/>
        <v>0</v>
      </c>
      <c r="K231" s="12">
        <f t="shared" si="2"/>
        <v>0</v>
      </c>
    </row>
    <row r="232" ht="22.5" customHeight="1">
      <c r="A232" s="17" t="s">
        <v>323</v>
      </c>
      <c r="B232" s="17" t="s">
        <v>701</v>
      </c>
      <c r="C232" s="18">
        <v>171.936393</v>
      </c>
      <c r="D232" s="18">
        <v>21.9</v>
      </c>
      <c r="E232" s="12">
        <f>C232*'Reality Constants'!$B$2</f>
        <v>0</v>
      </c>
      <c r="F232" s="12">
        <f>E232 * ('Reality Constants'!$B$3 * 2)</f>
        <v>0</v>
      </c>
      <c r="G232" s="12">
        <f>F232 / 'Reality Constants'!$B$4</f>
        <v>1068.457408</v>
      </c>
      <c r="H232" s="12">
        <f>F232 / 'Reality Constants'!$B$5</f>
        <v>0</v>
      </c>
      <c r="I232" s="13">
        <f t="array" ref="I232">IFERROR(INDEX(all_stable_isotopes_complete_no!A:E, MATCH(B232, all_stable_isotopes_complete_no!B:B, 0), 5),"")</f>
        <v>12.29</v>
      </c>
      <c r="J232" s="12">
        <f t="shared" si="1"/>
        <v>0</v>
      </c>
      <c r="K232" s="12">
        <f t="shared" si="2"/>
        <v>0</v>
      </c>
    </row>
    <row r="233" ht="22.5" customHeight="1">
      <c r="A233" s="17" t="s">
        <v>323</v>
      </c>
      <c r="B233" s="17" t="s">
        <v>702</v>
      </c>
      <c r="C233" s="18">
        <v>172.938222</v>
      </c>
      <c r="D233" s="18">
        <v>16.12</v>
      </c>
      <c r="E233" s="12">
        <f>C233*'Reality Constants'!$B$2</f>
        <v>0</v>
      </c>
      <c r="F233" s="12">
        <f>E233 * ('Reality Constants'!$B$3 * 2)</f>
        <v>0</v>
      </c>
      <c r="G233" s="12">
        <f>F233 / 'Reality Constants'!$B$4</f>
        <v>1074.683034</v>
      </c>
      <c r="H233" s="12">
        <f>F233 / 'Reality Constants'!$B$5</f>
        <v>0</v>
      </c>
      <c r="I233" s="13">
        <f t="array" ref="I233">IFERROR(INDEX(all_stable_isotopes_complete_no!A:E, MATCH(B233, all_stable_isotopes_complete_no!B:B, 0), 5),"")</f>
        <v>12.29</v>
      </c>
      <c r="J233" s="12">
        <f t="shared" si="1"/>
        <v>0</v>
      </c>
      <c r="K233" s="12">
        <f t="shared" si="2"/>
        <v>0</v>
      </c>
    </row>
    <row r="234" ht="22.5" customHeight="1">
      <c r="A234" s="17" t="s">
        <v>323</v>
      </c>
      <c r="B234" s="17" t="s">
        <v>703</v>
      </c>
      <c r="C234" s="18">
        <v>173.938873</v>
      </c>
      <c r="D234" s="18">
        <v>31.8</v>
      </c>
      <c r="E234" s="12">
        <f>C234*'Reality Constants'!$B$2</f>
        <v>0</v>
      </c>
      <c r="F234" s="12">
        <f>E234 * ('Reality Constants'!$B$3 * 2)</f>
        <v>0</v>
      </c>
      <c r="G234" s="12">
        <f>F234 / 'Reality Constants'!$B$4</f>
        <v>1080.901339</v>
      </c>
      <c r="H234" s="12">
        <f>F234 / 'Reality Constants'!$B$5</f>
        <v>0</v>
      </c>
      <c r="I234" s="13">
        <f t="array" ref="I234">IFERROR(INDEX(all_stable_isotopes_complete_no!A:E, MATCH(B234, all_stable_isotopes_complete_no!B:B, 0), 5),"")</f>
        <v>12.29</v>
      </c>
      <c r="J234" s="12">
        <f t="shared" si="1"/>
        <v>0</v>
      </c>
      <c r="K234" s="12">
        <f t="shared" si="2"/>
        <v>0</v>
      </c>
    </row>
    <row r="235" ht="22.5" customHeight="1">
      <c r="A235" s="17" t="s">
        <v>323</v>
      </c>
      <c r="B235" s="17" t="s">
        <v>704</v>
      </c>
      <c r="C235" s="18">
        <v>175.942576</v>
      </c>
      <c r="D235" s="18">
        <v>12.7</v>
      </c>
      <c r="E235" s="12">
        <f>C235*'Reality Constants'!$B$2</f>
        <v>0</v>
      </c>
      <c r="F235" s="12">
        <f>E235 * ('Reality Constants'!$B$3 * 2)</f>
        <v>0</v>
      </c>
      <c r="G235" s="12">
        <f>F235 / 'Reality Constants'!$B$4</f>
        <v>1093.35287</v>
      </c>
      <c r="H235" s="12">
        <f>F235 / 'Reality Constants'!$B$5</f>
        <v>0</v>
      </c>
      <c r="I235" s="13">
        <f t="array" ref="I235">IFERROR(INDEX(all_stable_isotopes_complete_no!A:E, MATCH(B235, all_stable_isotopes_complete_no!B:B, 0), 5),"")</f>
        <v>12.29</v>
      </c>
      <c r="J235" s="12">
        <f t="shared" si="1"/>
        <v>0</v>
      </c>
      <c r="K235" s="12">
        <f t="shared" si="2"/>
        <v>0</v>
      </c>
    </row>
    <row r="236" ht="22.5" customHeight="1">
      <c r="A236" s="17" t="s">
        <v>335</v>
      </c>
      <c r="B236" s="17" t="s">
        <v>705</v>
      </c>
      <c r="C236" s="18">
        <v>174.940785</v>
      </c>
      <c r="D236" s="18">
        <v>97.41</v>
      </c>
      <c r="E236" s="12">
        <f>C236*'Reality Constants'!$B$2</f>
        <v>0</v>
      </c>
      <c r="F236" s="12">
        <f>E236 * ('Reality Constants'!$B$3 * 2)</f>
        <v>0</v>
      </c>
      <c r="G236" s="12">
        <f>F236 / 'Reality Constants'!$B$4</f>
        <v>1087.12748</v>
      </c>
      <c r="H236" s="12">
        <f>F236 / 'Reality Constants'!$B$5</f>
        <v>0</v>
      </c>
      <c r="I236" s="13">
        <f t="array" ref="I236">IFERROR(INDEX(all_stable_isotopes_complete_no!A:E, MATCH(B236, all_stable_isotopes_complete_no!B:B, 0), 5),"")</f>
        <v>632.86</v>
      </c>
      <c r="J236" s="12">
        <f t="shared" si="1"/>
        <v>0</v>
      </c>
      <c r="K236" s="12">
        <f t="shared" si="2"/>
        <v>0</v>
      </c>
    </row>
    <row r="237" ht="22.5" customHeight="1">
      <c r="A237" s="17" t="s">
        <v>335</v>
      </c>
      <c r="B237" s="17" t="s">
        <v>706</v>
      </c>
      <c r="C237" s="18">
        <v>175.942694</v>
      </c>
      <c r="D237" s="18">
        <v>2.59</v>
      </c>
      <c r="E237" s="12">
        <f>C237*'Reality Constants'!$B$2</f>
        <v>0</v>
      </c>
      <c r="F237" s="12">
        <f>E237 * ('Reality Constants'!$B$3 * 2)</f>
        <v>0</v>
      </c>
      <c r="G237" s="12">
        <f>F237 / 'Reality Constants'!$B$4</f>
        <v>1093.353603</v>
      </c>
      <c r="H237" s="12">
        <f>F237 / 'Reality Constants'!$B$5</f>
        <v>0</v>
      </c>
      <c r="I237" s="13">
        <f t="array" ref="I237">IFERROR(INDEX(all_stable_isotopes_complete_no!A:E, MATCH(B237, all_stable_isotopes_complete_no!B:B, 0), 5),"")</f>
        <v>900</v>
      </c>
      <c r="J237" s="12">
        <f t="shared" si="1"/>
        <v>0</v>
      </c>
      <c r="K237" s="12">
        <f t="shared" si="2"/>
        <v>0</v>
      </c>
    </row>
    <row r="238" ht="22.5" customHeight="1">
      <c r="A238" s="17" t="s">
        <v>333</v>
      </c>
      <c r="B238" s="17" t="s">
        <v>707</v>
      </c>
      <c r="C238" s="18">
        <v>173.940065</v>
      </c>
      <c r="D238" s="18">
        <v>0.16</v>
      </c>
      <c r="E238" s="12">
        <f>C238*'Reality Constants'!$B$2</f>
        <v>0</v>
      </c>
      <c r="F238" s="12">
        <f>E238 * ('Reality Constants'!$B$3 * 2)</f>
        <v>0</v>
      </c>
      <c r="G238" s="12">
        <f>F238 / 'Reality Constants'!$B$4</f>
        <v>1080.908746</v>
      </c>
      <c r="H238" s="12">
        <f>F238 / 'Reality Constants'!$B$5</f>
        <v>0</v>
      </c>
      <c r="I238" s="13">
        <f t="array" ref="I238">IFERROR(INDEX(all_stable_isotopes_complete_no!A:E, MATCH(B238, all_stable_isotopes_complete_no!B:B, 0), 5),"")</f>
        <v>850</v>
      </c>
      <c r="J238" s="12">
        <f t="shared" si="1"/>
        <v>0</v>
      </c>
      <c r="K238" s="12">
        <f t="shared" si="2"/>
        <v>0</v>
      </c>
    </row>
    <row r="239" ht="22.5" customHeight="1">
      <c r="A239" s="17" t="s">
        <v>333</v>
      </c>
      <c r="B239" s="17" t="s">
        <v>708</v>
      </c>
      <c r="C239" s="18">
        <v>175.94142</v>
      </c>
      <c r="D239" s="18">
        <v>5.2</v>
      </c>
      <c r="E239" s="12">
        <f>C239*'Reality Constants'!$B$2</f>
        <v>0</v>
      </c>
      <c r="F239" s="12">
        <f>E239 * ('Reality Constants'!$B$3 * 2)</f>
        <v>0</v>
      </c>
      <c r="G239" s="12">
        <f>F239 / 'Reality Constants'!$B$4</f>
        <v>1093.345686</v>
      </c>
      <c r="H239" s="12">
        <f>F239 / 'Reality Constants'!$B$5</f>
        <v>0</v>
      </c>
      <c r="I239" s="13">
        <f t="array" ref="I239">IFERROR(INDEX(all_stable_isotopes_complete_no!A:E, MATCH(B239, all_stable_isotopes_complete_no!B:B, 0), 5),"")</f>
        <v>850</v>
      </c>
      <c r="J239" s="12">
        <f t="shared" si="1"/>
        <v>0</v>
      </c>
      <c r="K239" s="12">
        <f t="shared" si="2"/>
        <v>0</v>
      </c>
    </row>
    <row r="240" ht="22.5" customHeight="1">
      <c r="A240" s="17" t="s">
        <v>333</v>
      </c>
      <c r="B240" s="17" t="s">
        <v>709</v>
      </c>
      <c r="C240" s="18">
        <v>176.943233</v>
      </c>
      <c r="D240" s="18">
        <v>18.6</v>
      </c>
      <c r="E240" s="12">
        <f>C240*'Reality Constants'!$B$2</f>
        <v>0</v>
      </c>
      <c r="F240" s="12">
        <f>E240 * ('Reality Constants'!$B$3 * 2)</f>
        <v>0</v>
      </c>
      <c r="G240" s="12">
        <f>F240 / 'Reality Constants'!$B$4</f>
        <v>1099.571212</v>
      </c>
      <c r="H240" s="12">
        <f>F240 / 'Reality Constants'!$B$5</f>
        <v>0</v>
      </c>
      <c r="I240" s="13">
        <f t="array" ref="I240">IFERROR(INDEX(all_stable_isotopes_complete_no!A:E, MATCH(B240, all_stable_isotopes_complete_no!B:B, 0), 5),"")</f>
        <v>850</v>
      </c>
      <c r="J240" s="12">
        <f t="shared" si="1"/>
        <v>0</v>
      </c>
      <c r="K240" s="12">
        <f t="shared" si="2"/>
        <v>0</v>
      </c>
    </row>
    <row r="241" ht="22.5" customHeight="1">
      <c r="A241" s="17" t="s">
        <v>333</v>
      </c>
      <c r="B241" s="17" t="s">
        <v>710</v>
      </c>
      <c r="C241" s="18">
        <v>177.94371</v>
      </c>
      <c r="D241" s="18">
        <v>27.1</v>
      </c>
      <c r="E241" s="12">
        <f>C241*'Reality Constants'!$B$2</f>
        <v>0</v>
      </c>
      <c r="F241" s="12">
        <f>E241 * ('Reality Constants'!$B$3 * 2)</f>
        <v>0</v>
      </c>
      <c r="G241" s="12">
        <f>F241 / 'Reality Constants'!$B$4</f>
        <v>1105.788436</v>
      </c>
      <c r="H241" s="12">
        <f>F241 / 'Reality Constants'!$B$5</f>
        <v>0</v>
      </c>
      <c r="I241" s="13">
        <f t="array" ref="I241">IFERROR(INDEX(all_stable_isotopes_complete_no!A:E, MATCH(B241, all_stable_isotopes_complete_no!B:B, 0), 5),"")</f>
        <v>850</v>
      </c>
      <c r="J241" s="12">
        <f t="shared" si="1"/>
        <v>0</v>
      </c>
      <c r="K241" s="12">
        <f t="shared" si="2"/>
        <v>0</v>
      </c>
    </row>
    <row r="242" ht="22.5" customHeight="1">
      <c r="A242" s="17" t="s">
        <v>333</v>
      </c>
      <c r="B242" s="17" t="s">
        <v>711</v>
      </c>
      <c r="C242" s="18">
        <v>178.945827</v>
      </c>
      <c r="D242" s="18">
        <v>13.74</v>
      </c>
      <c r="E242" s="12">
        <f>C242*'Reality Constants'!$B$2</f>
        <v>0</v>
      </c>
      <c r="F242" s="12">
        <f>E242 * ('Reality Constants'!$B$3 * 2)</f>
        <v>0</v>
      </c>
      <c r="G242" s="12">
        <f>F242 / 'Reality Constants'!$B$4</f>
        <v>1112.015852</v>
      </c>
      <c r="H242" s="12">
        <f>F242 / 'Reality Constants'!$B$5</f>
        <v>0</v>
      </c>
      <c r="I242" s="13">
        <f t="array" ref="I242">IFERROR(INDEX(all_stable_isotopes_complete_no!A:E, MATCH(B242, all_stable_isotopes_complete_no!B:B, 0), 5),"")</f>
        <v>850</v>
      </c>
      <c r="J242" s="12">
        <f t="shared" si="1"/>
        <v>0</v>
      </c>
      <c r="K242" s="12">
        <f t="shared" si="2"/>
        <v>0</v>
      </c>
    </row>
    <row r="243" ht="22.5" customHeight="1">
      <c r="A243" s="17" t="s">
        <v>333</v>
      </c>
      <c r="B243" s="17" t="s">
        <v>712</v>
      </c>
      <c r="C243" s="18">
        <v>179.946561</v>
      </c>
      <c r="D243" s="18">
        <v>35.2</v>
      </c>
      <c r="E243" s="12">
        <f>C243*'Reality Constants'!$B$2</f>
        <v>0</v>
      </c>
      <c r="F243" s="12">
        <f>E243 * ('Reality Constants'!$B$3 * 2)</f>
        <v>0</v>
      </c>
      <c r="G243" s="12">
        <f>F243 / 'Reality Constants'!$B$4</f>
        <v>1118.234673</v>
      </c>
      <c r="H243" s="12">
        <f>F243 / 'Reality Constants'!$B$5</f>
        <v>0</v>
      </c>
      <c r="I243" s="13">
        <f t="array" ref="I243">IFERROR(INDEX(all_stable_isotopes_complete_no!A:E, MATCH(B243, all_stable_isotopes_complete_no!B:B, 0), 5),"")</f>
        <v>850</v>
      </c>
      <c r="J243" s="12">
        <f t="shared" si="1"/>
        <v>0</v>
      </c>
      <c r="K243" s="12">
        <f t="shared" si="2"/>
        <v>0</v>
      </c>
    </row>
    <row r="244" ht="22.5" customHeight="1">
      <c r="A244" s="17" t="s">
        <v>346</v>
      </c>
      <c r="B244" s="17" t="s">
        <v>713</v>
      </c>
      <c r="C244" s="18">
        <v>179.947489</v>
      </c>
      <c r="D244" s="18">
        <v>0.012</v>
      </c>
      <c r="E244" s="12">
        <f>C244*'Reality Constants'!$B$2</f>
        <v>0</v>
      </c>
      <c r="F244" s="12">
        <f>E244 * ('Reality Constants'!$B$3 * 2)</f>
        <v>0</v>
      </c>
      <c r="G244" s="12">
        <f>F244 / 'Reality Constants'!$B$4</f>
        <v>1118.240439</v>
      </c>
      <c r="H244" s="12">
        <f>F244 / 'Reality Constants'!$B$5</f>
        <v>0</v>
      </c>
      <c r="I244" s="13">
        <f t="array" ref="I244">IFERROR(INDEX(all_stable_isotopes_complete_no!A:E, MATCH(B244, all_stable_isotopes_complete_no!B:B, 0), 5),"")</f>
        <v>275</v>
      </c>
      <c r="J244" s="12">
        <f t="shared" si="1"/>
        <v>0</v>
      </c>
      <c r="K244" s="12">
        <f t="shared" si="2"/>
        <v>0</v>
      </c>
    </row>
    <row r="245" ht="22.5" customHeight="1">
      <c r="A245" s="17" t="s">
        <v>346</v>
      </c>
      <c r="B245" s="17" t="s">
        <v>714</v>
      </c>
      <c r="C245" s="18">
        <v>180.948014</v>
      </c>
      <c r="D245" s="18">
        <v>99.988</v>
      </c>
      <c r="E245" s="12">
        <f>C245*'Reality Constants'!$B$2</f>
        <v>0</v>
      </c>
      <c r="F245" s="12">
        <f>E245 * ('Reality Constants'!$B$3 * 2)</f>
        <v>0</v>
      </c>
      <c r="G245" s="12">
        <f>F245 / 'Reality Constants'!$B$4</f>
        <v>1124.457962</v>
      </c>
      <c r="H245" s="12">
        <f>F245 / 'Reality Constants'!$B$5</f>
        <v>0</v>
      </c>
      <c r="I245" s="13">
        <f t="array" ref="I245">IFERROR(INDEX(all_stable_isotopes_complete_no!A:E, MATCH(B245, all_stable_isotopes_complete_no!B:B, 0), 5),"")</f>
        <v>275</v>
      </c>
      <c r="J245" s="12">
        <f t="shared" si="1"/>
        <v>0</v>
      </c>
      <c r="K245" s="12">
        <f t="shared" si="2"/>
        <v>0</v>
      </c>
    </row>
    <row r="246" ht="22.5" customHeight="1">
      <c r="A246" s="17" t="s">
        <v>344</v>
      </c>
      <c r="B246" s="17" t="s">
        <v>715</v>
      </c>
      <c r="C246" s="18">
        <v>179.946727</v>
      </c>
      <c r="D246" s="18">
        <v>0.13</v>
      </c>
      <c r="E246" s="12">
        <f>C246*'Reality Constants'!$B$2</f>
        <v>0</v>
      </c>
      <c r="F246" s="12">
        <f>E246 * ('Reality Constants'!$B$3 * 2)</f>
        <v>0</v>
      </c>
      <c r="G246" s="12">
        <f>F246 / 'Reality Constants'!$B$4</f>
        <v>1118.235704</v>
      </c>
      <c r="H246" s="12">
        <f>F246 / 'Reality Constants'!$B$5</f>
        <v>0</v>
      </c>
      <c r="I246" s="13">
        <f t="array" ref="I246">IFERROR(INDEX(all_stable_isotopes_complete_no!A:E, MATCH(B246, all_stable_isotopes_complete_no!B:B, 0), 5),"")</f>
        <v>42</v>
      </c>
      <c r="J246" s="12">
        <f t="shared" si="1"/>
        <v>0</v>
      </c>
      <c r="K246" s="12">
        <f t="shared" si="2"/>
        <v>0</v>
      </c>
    </row>
    <row r="247" ht="22.5" customHeight="1">
      <c r="A247" s="17" t="s">
        <v>344</v>
      </c>
      <c r="B247" s="17" t="s">
        <v>716</v>
      </c>
      <c r="C247" s="18">
        <v>181.948225</v>
      </c>
      <c r="D247" s="18">
        <v>26.3</v>
      </c>
      <c r="E247" s="12">
        <f>C247*'Reality Constants'!$B$2</f>
        <v>0</v>
      </c>
      <c r="F247" s="12">
        <f>E247 * ('Reality Constants'!$B$3 * 2)</f>
        <v>0</v>
      </c>
      <c r="G247" s="12">
        <f>F247 / 'Reality Constants'!$B$4</f>
        <v>1130.673533</v>
      </c>
      <c r="H247" s="12">
        <f>F247 / 'Reality Constants'!$B$5</f>
        <v>0</v>
      </c>
      <c r="I247" s="13">
        <f t="array" ref="I247">IFERROR(INDEX(all_stable_isotopes_complete_no!A:E, MATCH(B247, all_stable_isotopes_complete_no!B:B, 0), 5),"")</f>
        <v>42</v>
      </c>
      <c r="J247" s="12">
        <f t="shared" si="1"/>
        <v>0</v>
      </c>
      <c r="K247" s="12">
        <f t="shared" si="2"/>
        <v>0</v>
      </c>
    </row>
    <row r="248" ht="22.5" customHeight="1">
      <c r="A248" s="17" t="s">
        <v>344</v>
      </c>
      <c r="B248" s="17" t="s">
        <v>717</v>
      </c>
      <c r="C248" s="18">
        <v>182.950245</v>
      </c>
      <c r="D248" s="18">
        <v>14.3</v>
      </c>
      <c r="E248" s="12">
        <f>C248*'Reality Constants'!$B$2</f>
        <v>0</v>
      </c>
      <c r="F248" s="12">
        <f>E248 * ('Reality Constants'!$B$3 * 2)</f>
        <v>0</v>
      </c>
      <c r="G248" s="12">
        <f>F248 / 'Reality Constants'!$B$4</f>
        <v>1136.900345</v>
      </c>
      <c r="H248" s="12">
        <f>F248 / 'Reality Constants'!$B$5</f>
        <v>0</v>
      </c>
      <c r="I248" s="13">
        <f t="array" ref="I248">IFERROR(INDEX(all_stable_isotopes_complete_no!A:E, MATCH(B248, all_stable_isotopes_complete_no!B:B, 0), 5),"")</f>
        <v>42</v>
      </c>
      <c r="J248" s="12">
        <f t="shared" si="1"/>
        <v>0</v>
      </c>
      <c r="K248" s="12">
        <f t="shared" si="2"/>
        <v>0</v>
      </c>
    </row>
    <row r="249" ht="22.5" customHeight="1">
      <c r="A249" s="17" t="s">
        <v>344</v>
      </c>
      <c r="B249" s="17" t="s">
        <v>718</v>
      </c>
      <c r="C249" s="18">
        <v>183.950953</v>
      </c>
      <c r="D249" s="18">
        <v>30.67</v>
      </c>
      <c r="E249" s="12">
        <f>C249*'Reality Constants'!$B$2</f>
        <v>0</v>
      </c>
      <c r="F249" s="12">
        <f>E249 * ('Reality Constants'!$B$3 * 2)</f>
        <v>0</v>
      </c>
      <c r="G249" s="12">
        <f>F249 / 'Reality Constants'!$B$4</f>
        <v>1143.119005</v>
      </c>
      <c r="H249" s="12">
        <f>F249 / 'Reality Constants'!$B$5</f>
        <v>0</v>
      </c>
      <c r="I249" s="13">
        <f t="array" ref="I249">IFERROR(INDEX(all_stable_isotopes_complete_no!A:E, MATCH(B249, all_stable_isotopes_complete_no!B:B, 0), 5),"")</f>
        <v>42</v>
      </c>
      <c r="J249" s="12">
        <f t="shared" si="1"/>
        <v>0</v>
      </c>
      <c r="K249" s="12">
        <f t="shared" si="2"/>
        <v>0</v>
      </c>
    </row>
    <row r="250" ht="22.5" customHeight="1">
      <c r="A250" s="17" t="s">
        <v>344</v>
      </c>
      <c r="B250" s="17" t="s">
        <v>719</v>
      </c>
      <c r="C250" s="18">
        <v>185.954377</v>
      </c>
      <c r="D250" s="18">
        <v>28.6</v>
      </c>
      <c r="E250" s="12">
        <f>C250*'Reality Constants'!$B$2</f>
        <v>0</v>
      </c>
      <c r="F250" s="12">
        <f>E250 * ('Reality Constants'!$B$3 * 2)</f>
        <v>0</v>
      </c>
      <c r="G250" s="12">
        <f>F250 / 'Reality Constants'!$B$4</f>
        <v>1155.568802</v>
      </c>
      <c r="H250" s="12">
        <f>F250 / 'Reality Constants'!$B$5</f>
        <v>0</v>
      </c>
      <c r="I250" s="13">
        <f t="array" ref="I250">IFERROR(INDEX(all_stable_isotopes_complete_no!A:E, MATCH(B250, all_stable_isotopes_complete_no!B:B, 0), 5),"")</f>
        <v>42</v>
      </c>
      <c r="J250" s="12">
        <f t="shared" si="1"/>
        <v>0</v>
      </c>
      <c r="K250" s="12">
        <f t="shared" si="2"/>
        <v>0</v>
      </c>
    </row>
    <row r="251" ht="22.5" customHeight="1">
      <c r="A251" s="17" t="s">
        <v>354</v>
      </c>
      <c r="B251" s="17" t="s">
        <v>720</v>
      </c>
      <c r="C251" s="18">
        <v>184.952977</v>
      </c>
      <c r="D251" s="18">
        <v>37.4</v>
      </c>
      <c r="E251" s="12">
        <f>C251*'Reality Constants'!$B$2</f>
        <v>0</v>
      </c>
      <c r="F251" s="12">
        <f>E251 * ('Reality Constants'!$B$3 * 2)</f>
        <v>0</v>
      </c>
      <c r="G251" s="12">
        <f>F251 / 'Reality Constants'!$B$4</f>
        <v>1149.345842</v>
      </c>
      <c r="H251" s="12">
        <f>F251 / 'Reality Constants'!$B$5</f>
        <v>0</v>
      </c>
      <c r="I251" s="13">
        <f t="array" ref="I251">IFERROR(INDEX(all_stable_isotopes_complete_no!A:E, MATCH(B251, all_stable_isotopes_complete_no!B:B, 0), 5),"")</f>
        <v>2100</v>
      </c>
      <c r="J251" s="12">
        <f t="shared" si="1"/>
        <v>0</v>
      </c>
      <c r="K251" s="12">
        <f t="shared" si="2"/>
        <v>0</v>
      </c>
    </row>
    <row r="252" ht="22.5" customHeight="1">
      <c r="A252" s="17" t="s">
        <v>354</v>
      </c>
      <c r="B252" s="17" t="s">
        <v>721</v>
      </c>
      <c r="C252" s="18">
        <v>186.955765</v>
      </c>
      <c r="D252" s="18">
        <v>62.6</v>
      </c>
      <c r="E252" s="12">
        <f>C252*'Reality Constants'!$B$2</f>
        <v>0</v>
      </c>
      <c r="F252" s="12">
        <f>E252 * ('Reality Constants'!$B$3 * 2)</f>
        <v>0</v>
      </c>
      <c r="G252" s="12">
        <f>F252 / 'Reality Constants'!$B$4</f>
        <v>1161.791687</v>
      </c>
      <c r="H252" s="12">
        <f>F252 / 'Reality Constants'!$B$5</f>
        <v>0</v>
      </c>
      <c r="I252" s="13">
        <f t="array" ref="I252">IFERROR(INDEX(all_stable_isotopes_complete_no!A:E, MATCH(B252, all_stable_isotopes_complete_no!B:B, 0), 5),"")</f>
        <v>2100</v>
      </c>
      <c r="J252" s="12">
        <f t="shared" si="1"/>
        <v>0</v>
      </c>
      <c r="K252" s="12">
        <f t="shared" si="2"/>
        <v>0</v>
      </c>
    </row>
    <row r="253" ht="22.5" customHeight="1">
      <c r="A253" s="17" t="s">
        <v>352</v>
      </c>
      <c r="B253" s="17" t="s">
        <v>722</v>
      </c>
      <c r="C253" s="18">
        <v>183.952514</v>
      </c>
      <c r="D253" s="18">
        <v>0.02</v>
      </c>
      <c r="E253" s="12">
        <f>C253*'Reality Constants'!$B$2</f>
        <v>0</v>
      </c>
      <c r="F253" s="12">
        <f>E253 * ('Reality Constants'!$B$3 * 2)</f>
        <v>0</v>
      </c>
      <c r="G253" s="12">
        <f>F253 / 'Reality Constants'!$B$4</f>
        <v>1143.128705</v>
      </c>
      <c r="H253" s="12">
        <f>F253 / 'Reality Constants'!$B$5</f>
        <v>0</v>
      </c>
      <c r="I253" s="13">
        <f t="array" ref="I253">IFERROR(INDEX(all_stable_isotopes_complete_no!A:E, MATCH(B253, all_stable_isotopes_complete_no!B:B, 0), 5),"")</f>
        <v>12000</v>
      </c>
      <c r="J253" s="12">
        <f t="shared" si="1"/>
        <v>0</v>
      </c>
      <c r="K253" s="12">
        <f t="shared" si="2"/>
        <v>0</v>
      </c>
    </row>
    <row r="254" ht="22.5" customHeight="1">
      <c r="A254" s="17" t="s">
        <v>352</v>
      </c>
      <c r="B254" s="17" t="s">
        <v>723</v>
      </c>
      <c r="C254" s="18">
        <v>185.953852</v>
      </c>
      <c r="D254" s="18">
        <v>1.58</v>
      </c>
      <c r="E254" s="12">
        <f>C254*'Reality Constants'!$B$2</f>
        <v>0</v>
      </c>
      <c r="F254" s="12">
        <f>E254 * ('Reality Constants'!$B$3 * 2)</f>
        <v>0</v>
      </c>
      <c r="G254" s="12">
        <f>F254 / 'Reality Constants'!$B$4</f>
        <v>1155.565539</v>
      </c>
      <c r="H254" s="12">
        <f>F254 / 'Reality Constants'!$B$5</f>
        <v>0</v>
      </c>
      <c r="I254" s="13">
        <f t="array" ref="I254">IFERROR(INDEX(all_stable_isotopes_complete_no!A:E, MATCH(B254, all_stable_isotopes_complete_no!B:B, 0), 5),"")</f>
        <v>12000</v>
      </c>
      <c r="J254" s="12">
        <f t="shared" si="1"/>
        <v>0</v>
      </c>
      <c r="K254" s="12">
        <f t="shared" si="2"/>
        <v>0</v>
      </c>
    </row>
    <row r="255" ht="22.5" customHeight="1">
      <c r="A255" s="17" t="s">
        <v>352</v>
      </c>
      <c r="B255" s="17" t="s">
        <v>724</v>
      </c>
      <c r="C255" s="18">
        <v>186.955762</v>
      </c>
      <c r="D255" s="18">
        <v>1.6</v>
      </c>
      <c r="E255" s="12">
        <f>C255*'Reality Constants'!$B$2</f>
        <v>0</v>
      </c>
      <c r="F255" s="12">
        <f>E255 * ('Reality Constants'!$B$3 * 2)</f>
        <v>0</v>
      </c>
      <c r="G255" s="12">
        <f>F255 / 'Reality Constants'!$B$4</f>
        <v>1161.791668</v>
      </c>
      <c r="H255" s="12">
        <f>F255 / 'Reality Constants'!$B$5</f>
        <v>0</v>
      </c>
      <c r="I255" s="13">
        <f t="array" ref="I255">IFERROR(INDEX(all_stable_isotopes_complete_no!A:E, MATCH(B255, all_stable_isotopes_complete_no!B:B, 0), 5),"")</f>
        <v>12000</v>
      </c>
      <c r="J255" s="12">
        <f t="shared" si="1"/>
        <v>0</v>
      </c>
      <c r="K255" s="12">
        <f t="shared" si="2"/>
        <v>0</v>
      </c>
    </row>
    <row r="256" ht="22.5" customHeight="1">
      <c r="A256" s="17" t="s">
        <v>352</v>
      </c>
      <c r="B256" s="17" t="s">
        <v>725</v>
      </c>
      <c r="C256" s="18">
        <v>187.95585</v>
      </c>
      <c r="D256" s="18">
        <v>13.3</v>
      </c>
      <c r="E256" s="12">
        <f>C256*'Reality Constants'!$B$2</f>
        <v>0</v>
      </c>
      <c r="F256" s="12">
        <f>E256 * ('Reality Constants'!$B$3 * 2)</f>
        <v>0</v>
      </c>
      <c r="G256" s="12">
        <f>F256 / 'Reality Constants'!$B$4</f>
        <v>1168.006475</v>
      </c>
      <c r="H256" s="12">
        <f>F256 / 'Reality Constants'!$B$5</f>
        <v>0</v>
      </c>
      <c r="I256" s="13">
        <f t="array" ref="I256">IFERROR(INDEX(all_stable_isotopes_complete_no!A:E, MATCH(B256, all_stable_isotopes_complete_no!B:B, 0), 5),"")</f>
        <v>12000</v>
      </c>
      <c r="J256" s="12">
        <f t="shared" si="1"/>
        <v>0</v>
      </c>
      <c r="K256" s="12">
        <f t="shared" si="2"/>
        <v>0</v>
      </c>
    </row>
    <row r="257" ht="22.5" customHeight="1">
      <c r="A257" s="17" t="s">
        <v>352</v>
      </c>
      <c r="B257" s="17" t="s">
        <v>726</v>
      </c>
      <c r="C257" s="18">
        <v>188.958156</v>
      </c>
      <c r="D257" s="18">
        <v>16.1</v>
      </c>
      <c r="E257" s="12">
        <f>C257*'Reality Constants'!$B$2</f>
        <v>0</v>
      </c>
      <c r="F257" s="12">
        <f>E257 * ('Reality Constants'!$B$3 * 2)</f>
        <v>0</v>
      </c>
      <c r="G257" s="12">
        <f>F257 / 'Reality Constants'!$B$4</f>
        <v>1174.235065</v>
      </c>
      <c r="H257" s="12">
        <f>F257 / 'Reality Constants'!$B$5</f>
        <v>0</v>
      </c>
      <c r="I257" s="13">
        <f t="array" ref="I257">IFERROR(INDEX(all_stable_isotopes_complete_no!A:E, MATCH(B257, all_stable_isotopes_complete_no!B:B, 0), 5),"")</f>
        <v>12000</v>
      </c>
      <c r="J257" s="12">
        <f t="shared" si="1"/>
        <v>0</v>
      </c>
      <c r="K257" s="12">
        <f t="shared" si="2"/>
        <v>0</v>
      </c>
    </row>
    <row r="258" ht="22.5" customHeight="1">
      <c r="A258" s="17" t="s">
        <v>352</v>
      </c>
      <c r="B258" s="17" t="s">
        <v>727</v>
      </c>
      <c r="C258" s="18">
        <v>189.958455</v>
      </c>
      <c r="D258" s="18">
        <v>26.4</v>
      </c>
      <c r="E258" s="12">
        <f>C258*'Reality Constants'!$B$2</f>
        <v>0</v>
      </c>
      <c r="F258" s="12">
        <f>E258 * ('Reality Constants'!$B$3 * 2)</f>
        <v>0</v>
      </c>
      <c r="G258" s="12">
        <f>F258 / 'Reality Constants'!$B$4</f>
        <v>1180.451183</v>
      </c>
      <c r="H258" s="12">
        <f>F258 / 'Reality Constants'!$B$5</f>
        <v>0</v>
      </c>
      <c r="I258" s="13">
        <f t="array" ref="I258">IFERROR(INDEX(all_stable_isotopes_complete_no!A:E, MATCH(B258, all_stable_isotopes_complete_no!B:B, 0), 5),"")</f>
        <v>12000</v>
      </c>
      <c r="J258" s="12">
        <f t="shared" si="1"/>
        <v>0</v>
      </c>
      <c r="K258" s="12">
        <f t="shared" si="2"/>
        <v>0</v>
      </c>
    </row>
    <row r="259" ht="22.5" customHeight="1">
      <c r="A259" s="17" t="s">
        <v>352</v>
      </c>
      <c r="B259" s="17" t="s">
        <v>728</v>
      </c>
      <c r="C259" s="18">
        <v>191.961487</v>
      </c>
      <c r="D259" s="18">
        <v>41.0</v>
      </c>
      <c r="E259" s="12">
        <f>C259*'Reality Constants'!$B$2</f>
        <v>0</v>
      </c>
      <c r="F259" s="12">
        <f>E259 * ('Reality Constants'!$B$3 * 2)</f>
        <v>0</v>
      </c>
      <c r="G259" s="12">
        <f>F259 / 'Reality Constants'!$B$4</f>
        <v>1192.898544</v>
      </c>
      <c r="H259" s="12">
        <f>F259 / 'Reality Constants'!$B$5</f>
        <v>0</v>
      </c>
      <c r="I259" s="13">
        <f t="array" ref="I259">IFERROR(INDEX(all_stable_isotopes_complete_no!A:E, MATCH(B259, all_stable_isotopes_complete_no!B:B, 0), 5),"")</f>
        <v>12000</v>
      </c>
      <c r="J259" s="12">
        <f t="shared" si="1"/>
        <v>0</v>
      </c>
      <c r="K259" s="12">
        <f t="shared" si="2"/>
        <v>0</v>
      </c>
    </row>
    <row r="260" ht="22.5" customHeight="1">
      <c r="A260" s="17" t="s">
        <v>365</v>
      </c>
      <c r="B260" s="17" t="s">
        <v>729</v>
      </c>
      <c r="C260" s="18">
        <v>190.960603</v>
      </c>
      <c r="D260" s="18">
        <v>37.3</v>
      </c>
      <c r="E260" s="12">
        <f>C260*'Reality Constants'!$B$2</f>
        <v>0</v>
      </c>
      <c r="F260" s="12">
        <f>E260 * ('Reality Constants'!$B$3 * 2)</f>
        <v>0</v>
      </c>
      <c r="G260" s="12">
        <f>F260 / 'Reality Constants'!$B$4</f>
        <v>1186.678791</v>
      </c>
      <c r="H260" s="12">
        <f>F260 / 'Reality Constants'!$B$5</f>
        <v>0</v>
      </c>
      <c r="I260" s="13">
        <f t="array" ref="I260">IFERROR(INDEX(all_stable_isotopes_complete_no!A:E, MATCH(B260, all_stable_isotopes_complete_no!B:B, 0), 5),"")</f>
        <v>50000</v>
      </c>
      <c r="J260" s="12">
        <f t="shared" si="1"/>
        <v>0</v>
      </c>
      <c r="K260" s="12">
        <f t="shared" si="2"/>
        <v>0</v>
      </c>
    </row>
    <row r="261" ht="22.5" customHeight="1">
      <c r="A261" s="17" t="s">
        <v>365</v>
      </c>
      <c r="B261" s="17" t="s">
        <v>730</v>
      </c>
      <c r="C261" s="18">
        <v>192.962942</v>
      </c>
      <c r="D261" s="18">
        <v>62.7</v>
      </c>
      <c r="E261" s="12">
        <f>C261*'Reality Constants'!$B$2</f>
        <v>0</v>
      </c>
      <c r="F261" s="12">
        <f>E261 * ('Reality Constants'!$B$3 * 2)</f>
        <v>0</v>
      </c>
      <c r="G261" s="12">
        <f>F261 / 'Reality Constants'!$B$4</f>
        <v>1199.121845</v>
      </c>
      <c r="H261" s="12">
        <f>F261 / 'Reality Constants'!$B$5</f>
        <v>0</v>
      </c>
      <c r="I261" s="13">
        <f t="array" ref="I261">IFERROR(INDEX(all_stable_isotopes_complete_no!A:E, MATCH(B261, all_stable_isotopes_complete_no!B:B, 0), 5),"")</f>
        <v>50000</v>
      </c>
      <c r="J261" s="12">
        <f t="shared" si="1"/>
        <v>0</v>
      </c>
      <c r="K261" s="12">
        <f t="shared" si="2"/>
        <v>0</v>
      </c>
    </row>
    <row r="262" ht="22.5" customHeight="1">
      <c r="A262" s="17" t="s">
        <v>363</v>
      </c>
      <c r="B262" s="17" t="s">
        <v>731</v>
      </c>
      <c r="C262" s="18">
        <v>189.959937</v>
      </c>
      <c r="D262" s="18">
        <v>0.01</v>
      </c>
      <c r="E262" s="12">
        <f>C262*'Reality Constants'!$B$2</f>
        <v>0</v>
      </c>
      <c r="F262" s="12">
        <f>E262 * ('Reality Constants'!$B$3 * 2)</f>
        <v>0</v>
      </c>
      <c r="G262" s="12">
        <f>F262 / 'Reality Constants'!$B$4</f>
        <v>1180.460392</v>
      </c>
      <c r="H262" s="12">
        <f>F262 / 'Reality Constants'!$B$5</f>
        <v>0</v>
      </c>
      <c r="I262" s="13">
        <f t="array" ref="I262">IFERROR(INDEX(all_stable_isotopes_complete_no!A:E, MATCH(B262, all_stable_isotopes_complete_no!B:B, 0), 5),"")</f>
        <v>42.4</v>
      </c>
      <c r="J262" s="12">
        <f t="shared" si="1"/>
        <v>0</v>
      </c>
      <c r="K262" s="12">
        <f t="shared" si="2"/>
        <v>0</v>
      </c>
    </row>
    <row r="263" ht="22.5" customHeight="1">
      <c r="A263" s="17" t="s">
        <v>363</v>
      </c>
      <c r="B263" s="17" t="s">
        <v>732</v>
      </c>
      <c r="C263" s="18">
        <v>191.961049</v>
      </c>
      <c r="D263" s="18">
        <v>0.79</v>
      </c>
      <c r="E263" s="12">
        <f>C263*'Reality Constants'!$B$2</f>
        <v>0</v>
      </c>
      <c r="F263" s="12">
        <f>E263 * ('Reality Constants'!$B$3 * 2)</f>
        <v>0</v>
      </c>
      <c r="G263" s="12">
        <f>F263 / 'Reality Constants'!$B$4</f>
        <v>1192.895822</v>
      </c>
      <c r="H263" s="12">
        <f>F263 / 'Reality Constants'!$B$5</f>
        <v>0</v>
      </c>
      <c r="I263" s="13">
        <f t="array" ref="I263">IFERROR(INDEX(all_stable_isotopes_complete_no!A:E, MATCH(B263, all_stable_isotopes_complete_no!B:B, 0), 5),"")</f>
        <v>42.4</v>
      </c>
      <c r="J263" s="12">
        <f t="shared" si="1"/>
        <v>0</v>
      </c>
      <c r="K263" s="12">
        <f t="shared" si="2"/>
        <v>0</v>
      </c>
    </row>
    <row r="264" ht="22.5" customHeight="1">
      <c r="A264" s="17" t="s">
        <v>363</v>
      </c>
      <c r="B264" s="17" t="s">
        <v>733</v>
      </c>
      <c r="C264" s="18">
        <v>193.962679</v>
      </c>
      <c r="D264" s="18">
        <v>32.9</v>
      </c>
      <c r="E264" s="12">
        <f>C264*'Reality Constants'!$B$2</f>
        <v>0</v>
      </c>
      <c r="F264" s="12">
        <f>E264 * ('Reality Constants'!$B$3 * 2)</f>
        <v>0</v>
      </c>
      <c r="G264" s="12">
        <f>F264 / 'Reality Constants'!$B$4</f>
        <v>1205.334471</v>
      </c>
      <c r="H264" s="12">
        <f>F264 / 'Reality Constants'!$B$5</f>
        <v>0</v>
      </c>
      <c r="I264" s="13">
        <f t="array" ref="I264">IFERROR(INDEX(all_stable_isotopes_complete_no!A:E, MATCH(B264, all_stable_isotopes_complete_no!B:B, 0), 5),"")</f>
        <v>42.4</v>
      </c>
      <c r="J264" s="12">
        <f t="shared" si="1"/>
        <v>0</v>
      </c>
      <c r="K264" s="12">
        <f t="shared" si="2"/>
        <v>0</v>
      </c>
    </row>
    <row r="265" ht="22.5" customHeight="1">
      <c r="A265" s="17" t="s">
        <v>363</v>
      </c>
      <c r="B265" s="17" t="s">
        <v>734</v>
      </c>
      <c r="C265" s="18">
        <v>194.964785</v>
      </c>
      <c r="D265" s="18">
        <v>33.8</v>
      </c>
      <c r="E265" s="12">
        <f>C265*'Reality Constants'!$B$2</f>
        <v>0</v>
      </c>
      <c r="F265" s="12">
        <f>E265 * ('Reality Constants'!$B$3 * 2)</f>
        <v>0</v>
      </c>
      <c r="G265" s="12">
        <f>F265 / 'Reality Constants'!$B$4</f>
        <v>1211.561818</v>
      </c>
      <c r="H265" s="12">
        <f>F265 / 'Reality Constants'!$B$5</f>
        <v>0</v>
      </c>
      <c r="I265" s="13">
        <f t="array" ref="I265">IFERROR(INDEX(all_stable_isotopes_complete_no!A:E, MATCH(B265, all_stable_isotopes_complete_no!B:B, 0), 5),"")</f>
        <v>42.4</v>
      </c>
      <c r="J265" s="12">
        <f t="shared" si="1"/>
        <v>0</v>
      </c>
      <c r="K265" s="12">
        <f t="shared" si="2"/>
        <v>0</v>
      </c>
    </row>
    <row r="266" ht="22.5" customHeight="1">
      <c r="A266" s="17" t="s">
        <v>363</v>
      </c>
      <c r="B266" s="17" t="s">
        <v>735</v>
      </c>
      <c r="C266" s="18">
        <v>195.964947</v>
      </c>
      <c r="D266" s="18">
        <v>25.3</v>
      </c>
      <c r="E266" s="12">
        <f>C266*'Reality Constants'!$B$2</f>
        <v>0</v>
      </c>
      <c r="F266" s="12">
        <f>E266 * ('Reality Constants'!$B$3 * 2)</f>
        <v>0</v>
      </c>
      <c r="G266" s="12">
        <f>F266 / 'Reality Constants'!$B$4</f>
        <v>1217.777084</v>
      </c>
      <c r="H266" s="12">
        <f>F266 / 'Reality Constants'!$B$5</f>
        <v>0</v>
      </c>
      <c r="I266" s="13">
        <f t="array" ref="I266">IFERROR(INDEX(all_stable_isotopes_complete_no!A:E, MATCH(B266, all_stable_isotopes_complete_no!B:B, 0), 5),"")</f>
        <v>42.4</v>
      </c>
      <c r="J266" s="12">
        <f t="shared" si="1"/>
        <v>0</v>
      </c>
      <c r="K266" s="12">
        <f t="shared" si="2"/>
        <v>0</v>
      </c>
    </row>
    <row r="267" ht="22.5" customHeight="1">
      <c r="A267" s="17" t="s">
        <v>363</v>
      </c>
      <c r="B267" s="17" t="s">
        <v>736</v>
      </c>
      <c r="C267" s="18">
        <v>197.967879</v>
      </c>
      <c r="D267" s="18">
        <v>7.2</v>
      </c>
      <c r="E267" s="12">
        <f>C267*'Reality Constants'!$B$2</f>
        <v>0</v>
      </c>
      <c r="F267" s="12">
        <f>E267 * ('Reality Constants'!$B$3 * 2)</f>
        <v>0</v>
      </c>
      <c r="G267" s="12">
        <f>F267 / 'Reality Constants'!$B$4</f>
        <v>1230.223824</v>
      </c>
      <c r="H267" s="12">
        <f>F267 / 'Reality Constants'!$B$5</f>
        <v>0</v>
      </c>
      <c r="I267" s="13">
        <f t="array" ref="I267">IFERROR(INDEX(all_stable_isotopes_complete_no!A:E, MATCH(B267, all_stable_isotopes_complete_no!B:B, 0), 5),"")</f>
        <v>42.4</v>
      </c>
      <c r="J267" s="12">
        <f t="shared" si="1"/>
        <v>0</v>
      </c>
      <c r="K267" s="12">
        <f t="shared" si="2"/>
        <v>0</v>
      </c>
    </row>
    <row r="268" ht="22.5" customHeight="1">
      <c r="A268" s="17" t="s">
        <v>375</v>
      </c>
      <c r="B268" s="17" t="s">
        <v>737</v>
      </c>
      <c r="C268" s="18">
        <v>196.96656</v>
      </c>
      <c r="D268" s="18">
        <v>100.0</v>
      </c>
      <c r="E268" s="12">
        <f>C268*'Reality Constants'!$B$2</f>
        <v>0</v>
      </c>
      <c r="F268" s="12">
        <f>E268 * ('Reality Constants'!$B$3 * 2)</f>
        <v>0</v>
      </c>
      <c r="G268" s="12">
        <f>F268 / 'Reality Constants'!$B$4</f>
        <v>1224.001367</v>
      </c>
      <c r="H268" s="12">
        <f>F268 / 'Reality Constants'!$B$5</f>
        <v>0</v>
      </c>
      <c r="I268" s="13">
        <f t="array" ref="I268">IFERROR(INDEX(all_stable_isotopes_complete_no!A:E, MATCH(B268, all_stable_isotopes_complete_no!B:B, 0), 5),"")</f>
        <v>132.95</v>
      </c>
      <c r="J268" s="12">
        <f t="shared" si="1"/>
        <v>0</v>
      </c>
      <c r="K268" s="12">
        <f t="shared" si="2"/>
        <v>0</v>
      </c>
    </row>
    <row r="269" ht="22.5" customHeight="1">
      <c r="A269" s="17" t="s">
        <v>373</v>
      </c>
      <c r="B269" s="17" t="s">
        <v>738</v>
      </c>
      <c r="C269" s="18">
        <v>195.965812</v>
      </c>
      <c r="D269" s="18">
        <v>0.15</v>
      </c>
      <c r="E269" s="12">
        <f>C269*'Reality Constants'!$B$2</f>
        <v>0</v>
      </c>
      <c r="F269" s="12">
        <f>E269 * ('Reality Constants'!$B$3 * 2)</f>
        <v>0</v>
      </c>
      <c r="G269" s="12">
        <f>F269 / 'Reality Constants'!$B$4</f>
        <v>1217.782459</v>
      </c>
      <c r="H269" s="12">
        <f>F269 / 'Reality Constants'!$B$5</f>
        <v>0</v>
      </c>
      <c r="I269" s="13">
        <f t="array" ref="I269">IFERROR(INDEX(all_stable_isotopes_complete_no!A:E, MATCH(B269, all_stable_isotopes_complete_no!B:B, 0), 5),"")</f>
        <v>28.5</v>
      </c>
      <c r="J269" s="12">
        <f t="shared" si="1"/>
        <v>0</v>
      </c>
      <c r="K269" s="12">
        <f t="shared" si="2"/>
        <v>0</v>
      </c>
    </row>
    <row r="270" ht="22.5" customHeight="1">
      <c r="A270" s="17" t="s">
        <v>373</v>
      </c>
      <c r="B270" s="17" t="s">
        <v>739</v>
      </c>
      <c r="C270" s="18">
        <v>197.96676</v>
      </c>
      <c r="D270" s="18">
        <v>10.1</v>
      </c>
      <c r="E270" s="12">
        <f>C270*'Reality Constants'!$B$2</f>
        <v>0</v>
      </c>
      <c r="F270" s="12">
        <f>E270 * ('Reality Constants'!$B$3 * 2)</f>
        <v>0</v>
      </c>
      <c r="G270" s="12">
        <f>F270 / 'Reality Constants'!$B$4</f>
        <v>1230.21687</v>
      </c>
      <c r="H270" s="12">
        <f>F270 / 'Reality Constants'!$B$5</f>
        <v>0</v>
      </c>
      <c r="I270" s="13">
        <f t="array" ref="I270">IFERROR(INDEX(all_stable_isotopes_complete_no!A:E, MATCH(B270, all_stable_isotopes_complete_no!B:B, 0), 5),"")</f>
        <v>28.5</v>
      </c>
      <c r="J270" s="12">
        <f t="shared" si="1"/>
        <v>0</v>
      </c>
      <c r="K270" s="12">
        <f t="shared" si="2"/>
        <v>0</v>
      </c>
    </row>
    <row r="271" ht="22.5" customHeight="1">
      <c r="A271" s="17" t="s">
        <v>373</v>
      </c>
      <c r="B271" s="17" t="s">
        <v>740</v>
      </c>
      <c r="C271" s="18">
        <v>198.968269</v>
      </c>
      <c r="D271" s="18">
        <v>17.0</v>
      </c>
      <c r="E271" s="12">
        <f>C271*'Reality Constants'!$B$2</f>
        <v>0</v>
      </c>
      <c r="F271" s="12">
        <f>E271 * ('Reality Constants'!$B$3 * 2)</f>
        <v>0</v>
      </c>
      <c r="G271" s="12">
        <f>F271 / 'Reality Constants'!$B$4</f>
        <v>1236.440507</v>
      </c>
      <c r="H271" s="12">
        <f>F271 / 'Reality Constants'!$B$5</f>
        <v>0</v>
      </c>
      <c r="I271" s="13">
        <f t="array" ref="I271">IFERROR(INDEX(all_stable_isotopes_complete_no!A:E, MATCH(B271, all_stable_isotopes_complete_no!B:B, 0), 5),"")</f>
        <v>28.5</v>
      </c>
      <c r="J271" s="12">
        <f t="shared" si="1"/>
        <v>0</v>
      </c>
      <c r="K271" s="12">
        <f t="shared" si="2"/>
        <v>0</v>
      </c>
    </row>
    <row r="272" ht="22.5" customHeight="1">
      <c r="A272" s="17" t="s">
        <v>373</v>
      </c>
      <c r="B272" s="17" t="s">
        <v>741</v>
      </c>
      <c r="C272" s="18">
        <v>199.968316</v>
      </c>
      <c r="D272" s="18">
        <v>23.1</v>
      </c>
      <c r="E272" s="12">
        <f>C272*'Reality Constants'!$B$2</f>
        <v>0</v>
      </c>
      <c r="F272" s="12">
        <f>E272 * ('Reality Constants'!$B$3 * 2)</f>
        <v>0</v>
      </c>
      <c r="G272" s="12">
        <f>F272 / 'Reality Constants'!$B$4</f>
        <v>1242.655059</v>
      </c>
      <c r="H272" s="12">
        <f>F272 / 'Reality Constants'!$B$5</f>
        <v>0</v>
      </c>
      <c r="I272" s="13">
        <f t="array" ref="I272">IFERROR(INDEX(all_stable_isotopes_complete_no!A:E, MATCH(B272, all_stable_isotopes_complete_no!B:B, 0), 5),"")</f>
        <v>28.5</v>
      </c>
      <c r="J272" s="12">
        <f t="shared" si="1"/>
        <v>0</v>
      </c>
      <c r="K272" s="12">
        <f t="shared" si="2"/>
        <v>0</v>
      </c>
    </row>
    <row r="273" ht="22.5" customHeight="1">
      <c r="A273" s="17" t="s">
        <v>373</v>
      </c>
      <c r="B273" s="17" t="s">
        <v>742</v>
      </c>
      <c r="C273" s="18">
        <v>200.970293</v>
      </c>
      <c r="D273" s="18">
        <v>13.2</v>
      </c>
      <c r="E273" s="12">
        <f>C273*'Reality Constants'!$B$2</f>
        <v>0</v>
      </c>
      <c r="F273" s="12">
        <f>E273 * ('Reality Constants'!$B$3 * 2)</f>
        <v>0</v>
      </c>
      <c r="G273" s="12">
        <f>F273 / 'Reality Constants'!$B$4</f>
        <v>1248.881604</v>
      </c>
      <c r="H273" s="12">
        <f>F273 / 'Reality Constants'!$B$5</f>
        <v>0</v>
      </c>
      <c r="I273" s="13">
        <f t="array" ref="I273">IFERROR(INDEX(all_stable_isotopes_complete_no!A:E, MATCH(B273, all_stable_isotopes_complete_no!B:B, 0), 5),"")</f>
        <v>28.5</v>
      </c>
      <c r="J273" s="12">
        <f t="shared" si="1"/>
        <v>0</v>
      </c>
      <c r="K273" s="12">
        <f t="shared" si="2"/>
        <v>0</v>
      </c>
    </row>
    <row r="274" ht="22.5" customHeight="1">
      <c r="A274" s="17" t="s">
        <v>373</v>
      </c>
      <c r="B274" s="17" t="s">
        <v>743</v>
      </c>
      <c r="C274" s="18">
        <v>201.970632</v>
      </c>
      <c r="D274" s="18">
        <v>29.65</v>
      </c>
      <c r="E274" s="12">
        <f>C274*'Reality Constants'!$B$2</f>
        <v>0</v>
      </c>
      <c r="F274" s="12">
        <f>E274 * ('Reality Constants'!$B$3 * 2)</f>
        <v>0</v>
      </c>
      <c r="G274" s="12">
        <f>F274 / 'Reality Constants'!$B$4</f>
        <v>1255.097971</v>
      </c>
      <c r="H274" s="12">
        <f>F274 / 'Reality Constants'!$B$5</f>
        <v>0</v>
      </c>
      <c r="I274" s="13">
        <f t="array" ref="I274">IFERROR(INDEX(all_stable_isotopes_complete_no!A:E, MATCH(B274, all_stable_isotopes_complete_no!B:B, 0), 5),"")</f>
        <v>28.5</v>
      </c>
      <c r="J274" s="12">
        <f t="shared" si="1"/>
        <v>0</v>
      </c>
      <c r="K274" s="12">
        <f t="shared" si="2"/>
        <v>0</v>
      </c>
    </row>
    <row r="275" ht="22.5" customHeight="1">
      <c r="A275" s="17" t="s">
        <v>373</v>
      </c>
      <c r="B275" s="17" t="s">
        <v>744</v>
      </c>
      <c r="C275" s="18">
        <v>203.973481</v>
      </c>
      <c r="D275" s="18">
        <v>6.8</v>
      </c>
      <c r="E275" s="12">
        <f>C275*'Reality Constants'!$B$2</f>
        <v>0</v>
      </c>
      <c r="F275" s="12">
        <f>E275 * ('Reality Constants'!$B$3 * 2)</f>
        <v>0</v>
      </c>
      <c r="G275" s="12">
        <f>F275 / 'Reality Constants'!$B$4</f>
        <v>1267.544195</v>
      </c>
      <c r="H275" s="12">
        <f>F275 / 'Reality Constants'!$B$5</f>
        <v>0</v>
      </c>
      <c r="I275" s="13">
        <f t="array" ref="I275">IFERROR(INDEX(all_stable_isotopes_complete_no!A:E, MATCH(B275, all_stable_isotopes_complete_no!B:B, 0), 5),"")</f>
        <v>28.5</v>
      </c>
      <c r="J275" s="12">
        <f t="shared" si="1"/>
        <v>0</v>
      </c>
      <c r="K275" s="12">
        <f t="shared" si="2"/>
        <v>0</v>
      </c>
    </row>
    <row r="276" ht="22.5" customHeight="1">
      <c r="A276" s="17" t="s">
        <v>383</v>
      </c>
      <c r="B276" s="17" t="s">
        <v>745</v>
      </c>
      <c r="C276" s="18">
        <v>202.972336</v>
      </c>
      <c r="D276" s="18">
        <v>29.524</v>
      </c>
      <c r="E276" s="12">
        <f>C276*'Reality Constants'!$B$2</f>
        <v>0</v>
      </c>
      <c r="F276" s="12">
        <f>E276 * ('Reality Constants'!$B$3 * 2)</f>
        <v>0</v>
      </c>
      <c r="G276" s="12">
        <f>F276 / 'Reality Constants'!$B$4</f>
        <v>1261.32282</v>
      </c>
      <c r="H276" s="12">
        <f>F276 / 'Reality Constants'!$B$5</f>
        <v>0</v>
      </c>
      <c r="I276" s="13">
        <f t="array" ref="I276">IFERROR(INDEX(all_stable_isotopes_complete_no!A:E, MATCH(B276, all_stable_isotopes_complete_no!B:B, 0), 5),"")</f>
        <v>4500</v>
      </c>
      <c r="J276" s="12">
        <f t="shared" si="1"/>
        <v>0</v>
      </c>
      <c r="K276" s="12">
        <f t="shared" si="2"/>
        <v>0</v>
      </c>
    </row>
    <row r="277" ht="22.5" customHeight="1">
      <c r="A277" s="17" t="s">
        <v>383</v>
      </c>
      <c r="B277" s="17" t="s">
        <v>746</v>
      </c>
      <c r="C277" s="18">
        <v>204.97441</v>
      </c>
      <c r="D277" s="18">
        <v>70.476</v>
      </c>
      <c r="E277" s="12">
        <f>C277*'Reality Constants'!$B$2</f>
        <v>0</v>
      </c>
      <c r="F277" s="12">
        <f>E277 * ('Reality Constants'!$B$3 * 2)</f>
        <v>0</v>
      </c>
      <c r="G277" s="12">
        <f>F277 / 'Reality Constants'!$B$4</f>
        <v>1273.764227</v>
      </c>
      <c r="H277" s="12">
        <f>F277 / 'Reality Constants'!$B$5</f>
        <v>0</v>
      </c>
      <c r="I277" s="13">
        <f t="array" ref="I277">IFERROR(INDEX(all_stable_isotopes_complete_no!A:E, MATCH(B277, all_stable_isotopes_complete_no!B:B, 0), 5),"")</f>
        <v>4500</v>
      </c>
      <c r="J277" s="12">
        <f t="shared" si="1"/>
        <v>0</v>
      </c>
      <c r="K277" s="12">
        <f t="shared" si="2"/>
        <v>0</v>
      </c>
    </row>
    <row r="278" ht="22.5" customHeight="1">
      <c r="A278" s="17" t="s">
        <v>385</v>
      </c>
      <c r="B278" s="17" t="s">
        <v>747</v>
      </c>
      <c r="C278" s="18">
        <v>203.973037</v>
      </c>
      <c r="D278" s="18">
        <v>1.4</v>
      </c>
      <c r="E278" s="12">
        <f>C278*'Reality Constants'!$B$2</f>
        <v>0</v>
      </c>
      <c r="F278" s="12">
        <f>E278 * ('Reality Constants'!$B$3 * 2)</f>
        <v>0</v>
      </c>
      <c r="G278" s="12">
        <f>F278 / 'Reality Constants'!$B$4</f>
        <v>1267.541436</v>
      </c>
      <c r="H278" s="12">
        <f>F278 / 'Reality Constants'!$B$5</f>
        <v>0</v>
      </c>
      <c r="I278" s="13">
        <f t="array" ref="I278">IFERROR(INDEX(all_stable_isotopes_complete_no!A:E, MATCH(B278, all_stable_isotopes_complete_no!B:B, 0), 5),"")</f>
        <v>1.96</v>
      </c>
      <c r="J278" s="12">
        <f t="shared" si="1"/>
        <v>0</v>
      </c>
      <c r="K278" s="12">
        <f t="shared" si="2"/>
        <v>0</v>
      </c>
    </row>
    <row r="279" ht="22.5" customHeight="1">
      <c r="A279" s="17" t="s">
        <v>385</v>
      </c>
      <c r="B279" s="17" t="s">
        <v>748</v>
      </c>
      <c r="C279" s="18">
        <v>205.974455</v>
      </c>
      <c r="D279" s="18">
        <v>24.1</v>
      </c>
      <c r="E279" s="12">
        <f>C279*'Reality Constants'!$B$2</f>
        <v>0</v>
      </c>
      <c r="F279" s="12">
        <f>E279 * ('Reality Constants'!$B$3 * 2)</f>
        <v>0</v>
      </c>
      <c r="G279" s="12">
        <f>F279 / 'Reality Constants'!$B$4</f>
        <v>1279.978767</v>
      </c>
      <c r="H279" s="12">
        <f>F279 / 'Reality Constants'!$B$5</f>
        <v>0</v>
      </c>
      <c r="I279" s="13">
        <f t="array" ref="I279">IFERROR(INDEX(all_stable_isotopes_complete_no!A:E, MATCH(B279, all_stable_isotopes_complete_no!B:B, 0), 5),"")</f>
        <v>1.96</v>
      </c>
      <c r="J279" s="12">
        <f t="shared" si="1"/>
        <v>0</v>
      </c>
      <c r="K279" s="12">
        <f t="shared" si="2"/>
        <v>0</v>
      </c>
    </row>
    <row r="280" ht="22.5" customHeight="1">
      <c r="A280" s="17" t="s">
        <v>385</v>
      </c>
      <c r="B280" s="17" t="s">
        <v>749</v>
      </c>
      <c r="C280" s="18">
        <v>206.975885</v>
      </c>
      <c r="D280" s="18">
        <v>22.1</v>
      </c>
      <c r="E280" s="12">
        <f>C280*'Reality Constants'!$B$2</f>
        <v>0</v>
      </c>
      <c r="F280" s="12">
        <f>E280 * ('Reality Constants'!$B$3 * 2)</f>
        <v>0</v>
      </c>
      <c r="G280" s="12">
        <f>F280 / 'Reality Constants'!$B$4</f>
        <v>1286.201913</v>
      </c>
      <c r="H280" s="12">
        <f>F280 / 'Reality Constants'!$B$5</f>
        <v>0</v>
      </c>
      <c r="I280" s="13">
        <f t="array" ref="I280">IFERROR(INDEX(all_stable_isotopes_complete_no!A:E, MATCH(B280, all_stable_isotopes_complete_no!B:B, 0), 5),"")</f>
        <v>1.96</v>
      </c>
      <c r="J280" s="12">
        <f t="shared" si="1"/>
        <v>0</v>
      </c>
      <c r="K280" s="12">
        <f t="shared" si="2"/>
        <v>0</v>
      </c>
    </row>
    <row r="281" ht="22.5" customHeight="1">
      <c r="A281" s="17" t="s">
        <v>385</v>
      </c>
      <c r="B281" s="17" t="s">
        <v>750</v>
      </c>
      <c r="C281" s="18">
        <v>207.976641</v>
      </c>
      <c r="D281" s="18">
        <v>52.4</v>
      </c>
      <c r="E281" s="12">
        <f>C281*'Reality Constants'!$B$2</f>
        <v>0</v>
      </c>
      <c r="F281" s="12">
        <f>E281 * ('Reality Constants'!$B$3 * 2)</f>
        <v>0</v>
      </c>
      <c r="G281" s="12">
        <f>F281 / 'Reality Constants'!$B$4</f>
        <v>1292.420871</v>
      </c>
      <c r="H281" s="12">
        <f>F281 / 'Reality Constants'!$B$5</f>
        <v>0</v>
      </c>
      <c r="I281" s="13">
        <f t="array" ref="I281">IFERROR(INDEX(all_stable_isotopes_complete_no!A:E, MATCH(B281, all_stable_isotopes_complete_no!B:B, 0), 5),"")</f>
        <v>1.96</v>
      </c>
      <c r="J281" s="12">
        <f t="shared" si="1"/>
        <v>0</v>
      </c>
      <c r="K281" s="12">
        <f t="shared" si="2"/>
        <v>0</v>
      </c>
    </row>
    <row r="282" ht="22.5" customHeight="1">
      <c r="A282" s="17" t="s">
        <v>392</v>
      </c>
      <c r="B282" s="17" t="s">
        <v>751</v>
      </c>
      <c r="C282" s="18">
        <v>208.980388</v>
      </c>
      <c r="D282" s="18">
        <v>100.0</v>
      </c>
      <c r="E282" s="12">
        <f>C282*'Reality Constants'!$B$2</f>
        <v>0</v>
      </c>
      <c r="F282" s="12">
        <f>E282 * ('Reality Constants'!$B$3 * 2)</f>
        <v>0</v>
      </c>
      <c r="G282" s="12">
        <f>F282 / 'Reality Constants'!$B$4</f>
        <v>1298.658415</v>
      </c>
      <c r="H282" s="12">
        <f>F282 / 'Reality Constants'!$B$5</f>
        <v>0</v>
      </c>
      <c r="I282" s="13">
        <f t="array" ref="I282">IFERROR(INDEX(all_stable_isotopes_complete_no!A:E, MATCH(B282, all_stable_isotopes_complete_no!B:B, 0), 5),"")</f>
        <v>18.5</v>
      </c>
      <c r="J282" s="12">
        <f t="shared" si="1"/>
        <v>0</v>
      </c>
      <c r="K282" s="12">
        <f t="shared" si="2"/>
        <v>0</v>
      </c>
    </row>
    <row r="283" ht="22.5" customHeight="1">
      <c r="A283" s="17" t="s">
        <v>394</v>
      </c>
      <c r="B283" s="17" t="s">
        <v>752</v>
      </c>
      <c r="C283" s="18">
        <v>232.038054</v>
      </c>
      <c r="D283" s="18">
        <v>100.0</v>
      </c>
      <c r="E283" s="12">
        <f>C283*'Reality Constants'!$B$2</f>
        <v>0</v>
      </c>
      <c r="F283" s="12">
        <f>E283 * ('Reality Constants'!$B$3 * 2)</f>
        <v>0</v>
      </c>
      <c r="G283" s="12">
        <f>F283 / 'Reality Constants'!$B$4</f>
        <v>1441.944741</v>
      </c>
      <c r="H283" s="12">
        <f>F283 / 'Reality Constants'!$B$5</f>
        <v>0</v>
      </c>
      <c r="I283" s="13">
        <f t="array" ref="I283">IFERROR(INDEX(all_stable_isotopes_complete_no!A:E, MATCH(B283, all_stable_isotopes_complete_no!B:B, 0), 5),"")</f>
        <v>176</v>
      </c>
      <c r="J283" s="12">
        <f t="shared" si="1"/>
        <v>0</v>
      </c>
      <c r="K283" s="12">
        <f t="shared" si="2"/>
        <v>0</v>
      </c>
    </row>
    <row r="284" ht="22.5" customHeight="1">
      <c r="A284" s="17" t="s">
        <v>396</v>
      </c>
      <c r="B284" s="17" t="s">
        <v>753</v>
      </c>
      <c r="C284" s="18">
        <v>234.040947</v>
      </c>
      <c r="D284" s="18">
        <v>0.0055</v>
      </c>
      <c r="E284" s="12">
        <f>C284*'Reality Constants'!$B$2</f>
        <v>0</v>
      </c>
      <c r="F284" s="12">
        <f>E284 * ('Reality Constants'!$B$3 * 2)</f>
        <v>0</v>
      </c>
      <c r="G284" s="12">
        <f>F284 / 'Reality Constants'!$B$4</f>
        <v>1454.391239</v>
      </c>
      <c r="H284" s="12">
        <f>F284 / 'Reality Constants'!$B$5</f>
        <v>0</v>
      </c>
      <c r="I284" s="13">
        <f t="array" ref="I284">IFERROR(INDEX(all_stable_isotopes_complete_no!A:E, MATCH(B284, all_stable_isotopes_complete_no!B:B, 0), 5),"")</f>
        <v>158.6</v>
      </c>
      <c r="J284" s="12">
        <f t="shared" si="1"/>
        <v>0</v>
      </c>
      <c r="K284" s="12">
        <f t="shared" si="2"/>
        <v>0</v>
      </c>
    </row>
    <row r="285" ht="22.5" customHeight="1">
      <c r="A285" s="17" t="s">
        <v>396</v>
      </c>
      <c r="B285" s="17" t="s">
        <v>754</v>
      </c>
      <c r="C285" s="18">
        <v>235.043925</v>
      </c>
      <c r="D285" s="18">
        <v>0.7204</v>
      </c>
      <c r="E285" s="12">
        <f>C285*'Reality Constants'!$B$2</f>
        <v>0</v>
      </c>
      <c r="F285" s="12">
        <f>E285 * ('Reality Constants'!$B$3 * 2)</f>
        <v>0</v>
      </c>
      <c r="G285" s="12">
        <f>F285 / 'Reality Constants'!$B$4</f>
        <v>1460.624004</v>
      </c>
      <c r="H285" s="12">
        <f>F285 / 'Reality Constants'!$B$5</f>
        <v>0</v>
      </c>
      <c r="I285" s="13">
        <f t="array" ref="I285">IFERROR(INDEX(all_stable_isotopes_complete_no!A:E, MATCH(B285, all_stable_isotopes_complete_no!B:B, 0), 5),"")</f>
        <v>158.6</v>
      </c>
      <c r="J285" s="12">
        <f t="shared" si="1"/>
        <v>0</v>
      </c>
      <c r="K285" s="12">
        <f t="shared" si="2"/>
        <v>0</v>
      </c>
    </row>
    <row r="286" ht="22.5" customHeight="1">
      <c r="A286" s="17" t="s">
        <v>396</v>
      </c>
      <c r="B286" s="17" t="s">
        <v>755</v>
      </c>
      <c r="C286" s="18">
        <v>238.050786</v>
      </c>
      <c r="D286" s="18">
        <v>99.2742</v>
      </c>
      <c r="E286" s="12">
        <f>C286*'Reality Constants'!$B$2</f>
        <v>0</v>
      </c>
      <c r="F286" s="12">
        <f>E286 * ('Reality Constants'!$B$3 * 2)</f>
        <v>0</v>
      </c>
      <c r="G286" s="12">
        <f>F286 / 'Reality Constants'!$B$4</f>
        <v>1479.30942</v>
      </c>
      <c r="H286" s="12">
        <f>F286 / 'Reality Constants'!$B$5</f>
        <v>0</v>
      </c>
      <c r="I286" s="13">
        <f t="array" ref="I286">IFERROR(INDEX(all_stable_isotopes_complete_no!A:E, MATCH(B286, all_stable_isotopes_complete_no!B:B, 0), 5),"")</f>
        <v>158.6</v>
      </c>
      <c r="J286" s="12">
        <f t="shared" si="1"/>
        <v>0</v>
      </c>
      <c r="K286" s="12">
        <f t="shared" si="2"/>
        <v>0</v>
      </c>
    </row>
    <row r="287" ht="22.5" customHeight="1">
      <c r="A287" s="14"/>
      <c r="B287" s="14"/>
      <c r="C287" s="14"/>
      <c r="D287" s="15">
        <f>AVERAGE(Atomic_Values_2[Abundance])</f>
        <v>29.11948807</v>
      </c>
      <c r="E287" s="12">
        <f>AVERAGE(Atomic_Values_2[Atomic Mass in kg])</f>
        <v>0</v>
      </c>
      <c r="F287" s="12">
        <f>AVERAGE(Atomic_Values_2[Atomic Energy (J)])</f>
        <v>0</v>
      </c>
      <c r="G287" s="12">
        <f>AVERAGE(Atomic_Values_2[Atomic Energy (eV)])</f>
        <v>698.520392</v>
      </c>
      <c r="H287" s="12">
        <f>AVERAGE(Atomic_Values_2[Atomic Energy (kWh)])</f>
        <v>0</v>
      </c>
      <c r="I287" s="13">
        <f>AVERAGE(Atomic_Values_2[Price per KG])</f>
        <v>5310.317298</v>
      </c>
      <c r="J287" s="12">
        <f>AVERAGE(Atomic_Values_2[Atomic Price (USD)])</f>
        <v>0</v>
      </c>
      <c r="K287" s="12">
        <f>AVERAGE(Atomic_Values_2[Atomic Price Weighted (USD)])</f>
        <v>0</v>
      </c>
    </row>
  </sheetData>
  <dataValidations>
    <dataValidation type="custom" allowBlank="1" showDropDown="1" sqref="C2:D286 I2:I286">
      <formula1>AND(ISNUMBER(C2),(NOT(OR(NOT(ISERROR(DATEVALUE(C2))), AND(ISNUMBER(C2), LEFT(CELL("format", C2))="D")))))</formula1>
    </dataValidation>
    <dataValidation allowBlank="1" showDropDown="1" sqref="A2:B286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0.25"/>
    <col customWidth="1" min="3" max="3" width="18.5"/>
    <col customWidth="1" min="4" max="4" width="19.88"/>
    <col customWidth="1" min="5" max="5" width="22.25"/>
    <col customWidth="1" min="6" max="6" width="37.63"/>
  </cols>
  <sheetData>
    <row r="1" ht="22.5" customHeight="1">
      <c r="A1" s="16" t="s">
        <v>756</v>
      </c>
      <c r="B1" s="16" t="s">
        <v>757</v>
      </c>
      <c r="C1" s="16" t="s">
        <v>758</v>
      </c>
      <c r="D1" s="16" t="s">
        <v>759</v>
      </c>
      <c r="E1" s="16" t="s">
        <v>760</v>
      </c>
      <c r="F1" s="16" t="s">
        <v>761</v>
      </c>
    </row>
    <row r="2" ht="22.5" customHeight="1">
      <c r="A2" s="17" t="s">
        <v>30</v>
      </c>
      <c r="B2" s="17" t="s">
        <v>471</v>
      </c>
      <c r="C2" s="18">
        <v>1.007825</v>
      </c>
      <c r="D2" s="18">
        <v>99.9885</v>
      </c>
      <c r="E2" s="18">
        <v>1.5</v>
      </c>
      <c r="F2" s="17" t="s">
        <v>762</v>
      </c>
    </row>
    <row r="3" ht="22.5" customHeight="1">
      <c r="A3" s="17" t="s">
        <v>30</v>
      </c>
      <c r="B3" s="17" t="s">
        <v>472</v>
      </c>
      <c r="C3" s="18">
        <v>2.014102</v>
      </c>
      <c r="D3" s="18">
        <v>0.0115</v>
      </c>
      <c r="E3" s="18">
        <v>13400.0</v>
      </c>
      <c r="F3" s="17" t="s">
        <v>763</v>
      </c>
    </row>
    <row r="4" ht="22.5" customHeight="1">
      <c r="A4" s="17" t="s">
        <v>33</v>
      </c>
      <c r="B4" s="17" t="s">
        <v>473</v>
      </c>
      <c r="C4" s="18">
        <v>3.016029</v>
      </c>
      <c r="D4" s="18">
        <v>1.37E-4</v>
      </c>
      <c r="E4" s="18">
        <v>1000000.0</v>
      </c>
      <c r="F4" s="17" t="s">
        <v>764</v>
      </c>
    </row>
    <row r="5" ht="22.5" customHeight="1">
      <c r="A5" s="17" t="s">
        <v>33</v>
      </c>
      <c r="B5" s="17" t="s">
        <v>474</v>
      </c>
      <c r="C5" s="18">
        <v>4.002603</v>
      </c>
      <c r="D5" s="18">
        <v>99.999863</v>
      </c>
      <c r="E5" s="18">
        <v>40.0</v>
      </c>
      <c r="F5" s="17" t="s">
        <v>765</v>
      </c>
    </row>
    <row r="6" ht="22.5" customHeight="1">
      <c r="A6" s="17" t="s">
        <v>36</v>
      </c>
      <c r="B6" s="17" t="s">
        <v>475</v>
      </c>
      <c r="C6" s="18">
        <v>6.015123</v>
      </c>
      <c r="D6" s="18">
        <v>7.42</v>
      </c>
      <c r="E6" s="18">
        <v>85000.0</v>
      </c>
      <c r="F6" s="17" t="s">
        <v>766</v>
      </c>
    </row>
    <row r="7" ht="22.5" customHeight="1">
      <c r="A7" s="17" t="s">
        <v>36</v>
      </c>
      <c r="B7" s="17" t="s">
        <v>476</v>
      </c>
      <c r="C7" s="18">
        <v>7.016005</v>
      </c>
      <c r="D7" s="18">
        <v>92.58</v>
      </c>
      <c r="E7" s="18">
        <v>12.85</v>
      </c>
      <c r="F7" s="17" t="s">
        <v>767</v>
      </c>
    </row>
    <row r="8" ht="22.5" customHeight="1">
      <c r="A8" s="17" t="s">
        <v>39</v>
      </c>
      <c r="B8" s="17" t="s">
        <v>477</v>
      </c>
      <c r="C8" s="18">
        <v>9.012183</v>
      </c>
      <c r="D8" s="18">
        <v>100.0</v>
      </c>
      <c r="E8" s="18">
        <v>275.0</v>
      </c>
      <c r="F8" s="17" t="s">
        <v>768</v>
      </c>
    </row>
    <row r="9" ht="22.5" customHeight="1">
      <c r="A9" s="17" t="s">
        <v>41</v>
      </c>
      <c r="B9" s="17" t="s">
        <v>478</v>
      </c>
      <c r="C9" s="18">
        <v>10.012938</v>
      </c>
      <c r="D9" s="18">
        <v>19.9</v>
      </c>
      <c r="E9" s="18">
        <v>8500.0</v>
      </c>
      <c r="F9" s="17" t="s">
        <v>769</v>
      </c>
    </row>
    <row r="10" ht="22.5" customHeight="1">
      <c r="A10" s="17" t="s">
        <v>41</v>
      </c>
      <c r="B10" s="17" t="s">
        <v>479</v>
      </c>
      <c r="C10" s="18">
        <v>11.009305</v>
      </c>
      <c r="D10" s="18">
        <v>80.1</v>
      </c>
      <c r="E10" s="18">
        <v>8.5</v>
      </c>
      <c r="F10" s="17" t="s">
        <v>770</v>
      </c>
    </row>
    <row r="11" ht="22.5" customHeight="1">
      <c r="A11" s="17" t="s">
        <v>44</v>
      </c>
      <c r="B11" s="17" t="s">
        <v>480</v>
      </c>
      <c r="C11" s="18">
        <v>12.0</v>
      </c>
      <c r="D11" s="18">
        <v>98.93</v>
      </c>
      <c r="E11" s="18">
        <v>0.53</v>
      </c>
      <c r="F11" s="17" t="s">
        <v>771</v>
      </c>
    </row>
    <row r="12" ht="22.5" customHeight="1">
      <c r="A12" s="17" t="s">
        <v>44</v>
      </c>
      <c r="B12" s="17" t="s">
        <v>481</v>
      </c>
      <c r="C12" s="18">
        <v>13.003355</v>
      </c>
      <c r="D12" s="18">
        <v>1.07</v>
      </c>
      <c r="E12" s="18">
        <v>8000.0</v>
      </c>
      <c r="F12" s="17" t="s">
        <v>772</v>
      </c>
    </row>
    <row r="13" ht="22.5" customHeight="1">
      <c r="A13" s="17" t="s">
        <v>47</v>
      </c>
      <c r="B13" s="17" t="s">
        <v>482</v>
      </c>
      <c r="C13" s="18">
        <v>14.003074</v>
      </c>
      <c r="D13" s="18">
        <v>99.632</v>
      </c>
      <c r="E13" s="18">
        <v>0.11</v>
      </c>
      <c r="F13" s="17" t="s">
        <v>773</v>
      </c>
    </row>
    <row r="14" ht="22.5" customHeight="1">
      <c r="A14" s="17" t="s">
        <v>47</v>
      </c>
      <c r="B14" s="17" t="s">
        <v>483</v>
      </c>
      <c r="C14" s="18">
        <v>15.000109</v>
      </c>
      <c r="D14" s="18">
        <v>0.368</v>
      </c>
      <c r="E14" s="18">
        <v>1310.0</v>
      </c>
      <c r="F14" s="17" t="s">
        <v>774</v>
      </c>
    </row>
    <row r="15" ht="22.5" customHeight="1">
      <c r="A15" s="17" t="s">
        <v>50</v>
      </c>
      <c r="B15" s="17" t="s">
        <v>484</v>
      </c>
      <c r="C15" s="18">
        <v>15.994915</v>
      </c>
      <c r="D15" s="18">
        <v>99.757</v>
      </c>
      <c r="E15" s="18">
        <v>0.08</v>
      </c>
      <c r="F15" s="17" t="s">
        <v>775</v>
      </c>
    </row>
    <row r="16" ht="22.5" customHeight="1">
      <c r="A16" s="17" t="s">
        <v>50</v>
      </c>
      <c r="B16" s="17" t="s">
        <v>485</v>
      </c>
      <c r="C16" s="18">
        <v>16.999131</v>
      </c>
      <c r="D16" s="18">
        <v>0.038</v>
      </c>
      <c r="E16" s="18">
        <v>5000.0</v>
      </c>
      <c r="F16" s="17" t="s">
        <v>776</v>
      </c>
    </row>
    <row r="17" ht="22.5" customHeight="1">
      <c r="A17" s="17" t="s">
        <v>50</v>
      </c>
      <c r="B17" s="17" t="s">
        <v>486</v>
      </c>
      <c r="C17" s="18">
        <v>17.999159</v>
      </c>
      <c r="D17" s="18">
        <v>0.205</v>
      </c>
      <c r="E17" s="18">
        <v>12000.0</v>
      </c>
      <c r="F17" s="17" t="s">
        <v>777</v>
      </c>
    </row>
    <row r="18" ht="22.5" customHeight="1">
      <c r="A18" s="17" t="s">
        <v>54</v>
      </c>
      <c r="B18" s="17" t="s">
        <v>487</v>
      </c>
      <c r="C18" s="18">
        <v>18.998403</v>
      </c>
      <c r="D18" s="18">
        <v>100.0</v>
      </c>
      <c r="E18" s="18">
        <v>15.0</v>
      </c>
      <c r="F18" s="17" t="s">
        <v>778</v>
      </c>
    </row>
    <row r="19" ht="22.5" customHeight="1">
      <c r="A19" s="17" t="s">
        <v>56</v>
      </c>
      <c r="B19" s="17" t="s">
        <v>488</v>
      </c>
      <c r="C19" s="18">
        <v>19.992439</v>
      </c>
      <c r="D19" s="18">
        <v>90.48</v>
      </c>
      <c r="E19" s="18">
        <v>2.0</v>
      </c>
      <c r="F19" s="17" t="s">
        <v>779</v>
      </c>
    </row>
    <row r="20" ht="22.5" customHeight="1">
      <c r="A20" s="17" t="s">
        <v>56</v>
      </c>
      <c r="B20" s="17" t="s">
        <v>489</v>
      </c>
      <c r="C20" s="18">
        <v>20.993845</v>
      </c>
      <c r="D20" s="18">
        <v>0.27</v>
      </c>
      <c r="E20" s="18">
        <v>15000.0</v>
      </c>
      <c r="F20" s="17" t="s">
        <v>780</v>
      </c>
    </row>
    <row r="21" ht="22.5" customHeight="1">
      <c r="A21" s="17" t="s">
        <v>56</v>
      </c>
      <c r="B21" s="17" t="s">
        <v>490</v>
      </c>
      <c r="C21" s="18">
        <v>21.991384</v>
      </c>
      <c r="D21" s="18">
        <v>9.25</v>
      </c>
      <c r="E21" s="18">
        <v>3500.0</v>
      </c>
      <c r="F21" s="17" t="s">
        <v>781</v>
      </c>
    </row>
    <row r="22" ht="22.5" customHeight="1">
      <c r="A22" s="17" t="s">
        <v>60</v>
      </c>
      <c r="B22" s="17" t="s">
        <v>491</v>
      </c>
      <c r="C22" s="18">
        <v>22.98977</v>
      </c>
      <c r="D22" s="18">
        <v>100.0</v>
      </c>
      <c r="E22" s="18">
        <v>1.5</v>
      </c>
      <c r="F22" s="17" t="s">
        <v>782</v>
      </c>
    </row>
    <row r="23" ht="22.5" customHeight="1">
      <c r="A23" s="17" t="s">
        <v>62</v>
      </c>
      <c r="B23" s="17" t="s">
        <v>492</v>
      </c>
      <c r="C23" s="18">
        <v>23.985045</v>
      </c>
      <c r="D23" s="18">
        <v>78.99</v>
      </c>
      <c r="E23" s="18">
        <v>2.5</v>
      </c>
      <c r="F23" s="17" t="s">
        <v>783</v>
      </c>
    </row>
    <row r="24" ht="22.5" customHeight="1">
      <c r="A24" s="17" t="s">
        <v>62</v>
      </c>
      <c r="B24" s="17" t="s">
        <v>493</v>
      </c>
      <c r="C24" s="18">
        <v>24.985837</v>
      </c>
      <c r="D24" s="18">
        <v>10.0</v>
      </c>
      <c r="E24" s="18">
        <v>2500.0</v>
      </c>
      <c r="F24" s="17" t="s">
        <v>784</v>
      </c>
    </row>
    <row r="25" ht="22.5" customHeight="1">
      <c r="A25" s="17" t="s">
        <v>62</v>
      </c>
      <c r="B25" s="17" t="s">
        <v>494</v>
      </c>
      <c r="C25" s="18">
        <v>25.982593</v>
      </c>
      <c r="D25" s="18">
        <v>11.01</v>
      </c>
      <c r="E25" s="18">
        <v>2800.0</v>
      </c>
      <c r="F25" s="17" t="s">
        <v>785</v>
      </c>
    </row>
    <row r="26" ht="22.5" customHeight="1">
      <c r="A26" s="17" t="s">
        <v>66</v>
      </c>
      <c r="B26" s="17" t="s">
        <v>495</v>
      </c>
      <c r="C26" s="18">
        <v>26.981541</v>
      </c>
      <c r="D26" s="18">
        <v>100.0</v>
      </c>
      <c r="E26" s="18">
        <v>2.83</v>
      </c>
      <c r="F26" s="17" t="s">
        <v>786</v>
      </c>
    </row>
    <row r="27" ht="22.5" customHeight="1">
      <c r="A27" s="17" t="s">
        <v>68</v>
      </c>
      <c r="B27" s="17" t="s">
        <v>496</v>
      </c>
      <c r="C27" s="18">
        <v>27.976927</v>
      </c>
      <c r="D27" s="18">
        <v>92.23</v>
      </c>
      <c r="E27" s="18">
        <v>1.2</v>
      </c>
      <c r="F27" s="17" t="s">
        <v>787</v>
      </c>
    </row>
    <row r="28" ht="22.5" customHeight="1">
      <c r="A28" s="17" t="s">
        <v>68</v>
      </c>
      <c r="B28" s="17" t="s">
        <v>497</v>
      </c>
      <c r="C28" s="18">
        <v>28.976495</v>
      </c>
      <c r="D28" s="18">
        <v>4.68</v>
      </c>
      <c r="E28" s="18">
        <v>1800.0</v>
      </c>
      <c r="F28" s="17" t="s">
        <v>788</v>
      </c>
    </row>
    <row r="29" ht="22.5" customHeight="1">
      <c r="A29" s="17" t="s">
        <v>68</v>
      </c>
      <c r="B29" s="17" t="s">
        <v>498</v>
      </c>
      <c r="C29" s="18">
        <v>29.97377</v>
      </c>
      <c r="D29" s="18">
        <v>3.09</v>
      </c>
      <c r="E29" s="18">
        <v>2200.0</v>
      </c>
      <c r="F29" s="17" t="s">
        <v>789</v>
      </c>
    </row>
    <row r="30" ht="22.5" customHeight="1">
      <c r="A30" s="17" t="s">
        <v>72</v>
      </c>
      <c r="B30" s="17" t="s">
        <v>499</v>
      </c>
      <c r="C30" s="18">
        <v>30.973762</v>
      </c>
      <c r="D30" s="18">
        <v>100.0</v>
      </c>
      <c r="E30" s="18">
        <v>2.8</v>
      </c>
      <c r="F30" s="17" t="s">
        <v>790</v>
      </c>
    </row>
    <row r="31" ht="22.5" customHeight="1">
      <c r="A31" s="17" t="s">
        <v>74</v>
      </c>
      <c r="B31" s="17" t="s">
        <v>500</v>
      </c>
      <c r="C31" s="18">
        <v>31.972071</v>
      </c>
      <c r="D31" s="18">
        <v>94.99</v>
      </c>
      <c r="E31" s="18">
        <v>0.15</v>
      </c>
      <c r="F31" s="17" t="s">
        <v>791</v>
      </c>
    </row>
    <row r="32" ht="22.5" customHeight="1">
      <c r="A32" s="17" t="s">
        <v>74</v>
      </c>
      <c r="B32" s="17" t="s">
        <v>501</v>
      </c>
      <c r="C32" s="18">
        <v>32.971459</v>
      </c>
      <c r="D32" s="18">
        <v>0.75</v>
      </c>
      <c r="E32" s="18">
        <v>500.0</v>
      </c>
      <c r="F32" s="17" t="s">
        <v>792</v>
      </c>
    </row>
    <row r="33" ht="22.5" customHeight="1">
      <c r="A33" s="17" t="s">
        <v>74</v>
      </c>
      <c r="B33" s="17" t="s">
        <v>502</v>
      </c>
      <c r="C33" s="18">
        <v>33.967867</v>
      </c>
      <c r="D33" s="18">
        <v>4.25</v>
      </c>
      <c r="E33" s="18">
        <v>800.0</v>
      </c>
      <c r="F33" s="17" t="s">
        <v>793</v>
      </c>
    </row>
    <row r="34" ht="22.5" customHeight="1">
      <c r="A34" s="17" t="s">
        <v>74</v>
      </c>
      <c r="B34" s="17" t="s">
        <v>503</v>
      </c>
      <c r="C34" s="18">
        <v>35.967081</v>
      </c>
      <c r="D34" s="18">
        <v>0.01</v>
      </c>
      <c r="E34" s="18">
        <v>3000.0</v>
      </c>
      <c r="F34" s="17" t="s">
        <v>794</v>
      </c>
    </row>
    <row r="35" ht="22.5" customHeight="1">
      <c r="A35" s="17" t="s">
        <v>78</v>
      </c>
      <c r="B35" s="17" t="s">
        <v>504</v>
      </c>
      <c r="C35" s="18">
        <v>34.968853</v>
      </c>
      <c r="D35" s="18">
        <v>75.76</v>
      </c>
      <c r="E35" s="18">
        <v>0.25</v>
      </c>
      <c r="F35" s="17" t="s">
        <v>795</v>
      </c>
    </row>
    <row r="36" ht="22.5" customHeight="1">
      <c r="A36" s="17" t="s">
        <v>78</v>
      </c>
      <c r="B36" s="17" t="s">
        <v>505</v>
      </c>
      <c r="C36" s="18">
        <v>36.965903</v>
      </c>
      <c r="D36" s="18">
        <v>24.24</v>
      </c>
      <c r="E36" s="18">
        <v>0.35</v>
      </c>
      <c r="F36" s="17" t="s">
        <v>795</v>
      </c>
    </row>
    <row r="37" ht="22.5" customHeight="1">
      <c r="A37" s="17" t="s">
        <v>81</v>
      </c>
      <c r="B37" s="17" t="s">
        <v>506</v>
      </c>
      <c r="C37" s="18">
        <v>35.967546</v>
      </c>
      <c r="D37" s="18">
        <v>0.334</v>
      </c>
      <c r="E37" s="18">
        <v>150.0</v>
      </c>
      <c r="F37" s="17" t="s">
        <v>796</v>
      </c>
    </row>
    <row r="38" ht="22.5" customHeight="1">
      <c r="A38" s="17" t="s">
        <v>81</v>
      </c>
      <c r="B38" s="17" t="s">
        <v>507</v>
      </c>
      <c r="C38" s="18">
        <v>37.962732</v>
      </c>
      <c r="D38" s="18">
        <v>0.063</v>
      </c>
      <c r="E38" s="18">
        <v>800.0</v>
      </c>
      <c r="F38" s="17" t="s">
        <v>797</v>
      </c>
    </row>
    <row r="39" ht="22.5" customHeight="1">
      <c r="A39" s="17" t="s">
        <v>81</v>
      </c>
      <c r="B39" s="17" t="s">
        <v>508</v>
      </c>
      <c r="C39" s="18">
        <v>39.962383</v>
      </c>
      <c r="D39" s="18">
        <v>99.603</v>
      </c>
      <c r="E39" s="18">
        <v>1.5</v>
      </c>
      <c r="F39" s="17" t="s">
        <v>798</v>
      </c>
    </row>
    <row r="40" ht="22.5" customHeight="1">
      <c r="A40" s="17" t="s">
        <v>85</v>
      </c>
      <c r="B40" s="17" t="s">
        <v>509</v>
      </c>
      <c r="C40" s="18">
        <v>38.963707</v>
      </c>
      <c r="D40" s="18">
        <v>93.26</v>
      </c>
      <c r="E40" s="18">
        <v>2.5</v>
      </c>
      <c r="F40" s="17" t="s">
        <v>799</v>
      </c>
    </row>
    <row r="41" ht="22.5" customHeight="1">
      <c r="A41" s="17" t="s">
        <v>85</v>
      </c>
      <c r="B41" s="17" t="s">
        <v>510</v>
      </c>
      <c r="C41" s="18">
        <v>40.961826</v>
      </c>
      <c r="D41" s="18">
        <v>6.73</v>
      </c>
      <c r="E41" s="18">
        <v>3.0</v>
      </c>
      <c r="F41" s="17" t="s">
        <v>799</v>
      </c>
    </row>
    <row r="42" ht="22.5" customHeight="1">
      <c r="A42" s="17" t="s">
        <v>88</v>
      </c>
      <c r="B42" s="17" t="s">
        <v>511</v>
      </c>
      <c r="C42" s="18">
        <v>39.962591</v>
      </c>
      <c r="D42" s="18">
        <v>96.941</v>
      </c>
      <c r="E42" s="18">
        <v>1.8</v>
      </c>
      <c r="F42" s="17" t="s">
        <v>800</v>
      </c>
    </row>
    <row r="43" ht="22.5" customHeight="1">
      <c r="A43" s="17" t="s">
        <v>88</v>
      </c>
      <c r="B43" s="17" t="s">
        <v>512</v>
      </c>
      <c r="C43" s="18">
        <v>41.958622</v>
      </c>
      <c r="D43" s="18">
        <v>0.647</v>
      </c>
      <c r="E43" s="18">
        <v>500.0</v>
      </c>
      <c r="F43" s="17" t="s">
        <v>801</v>
      </c>
    </row>
    <row r="44" ht="22.5" customHeight="1">
      <c r="A44" s="17" t="s">
        <v>88</v>
      </c>
      <c r="B44" s="17" t="s">
        <v>513</v>
      </c>
      <c r="C44" s="18">
        <v>42.958766</v>
      </c>
      <c r="D44" s="18">
        <v>0.135</v>
      </c>
      <c r="E44" s="18">
        <v>800.0</v>
      </c>
      <c r="F44" s="17" t="s">
        <v>802</v>
      </c>
    </row>
    <row r="45" ht="22.5" customHeight="1">
      <c r="A45" s="17" t="s">
        <v>88</v>
      </c>
      <c r="B45" s="17" t="s">
        <v>514</v>
      </c>
      <c r="C45" s="18">
        <v>43.955481</v>
      </c>
      <c r="D45" s="18">
        <v>2.086</v>
      </c>
      <c r="E45" s="18">
        <v>600.0</v>
      </c>
      <c r="F45" s="17" t="s">
        <v>803</v>
      </c>
    </row>
    <row r="46" ht="22.5" customHeight="1">
      <c r="A46" s="17" t="s">
        <v>88</v>
      </c>
      <c r="B46" s="17" t="s">
        <v>515</v>
      </c>
      <c r="C46" s="18">
        <v>45.953693</v>
      </c>
      <c r="D46" s="18">
        <v>0.004</v>
      </c>
      <c r="E46" s="18">
        <v>2000.0</v>
      </c>
      <c r="F46" s="17" t="s">
        <v>804</v>
      </c>
    </row>
    <row r="47" ht="22.5" customHeight="1">
      <c r="A47" s="17" t="s">
        <v>95</v>
      </c>
      <c r="B47" s="17" t="s">
        <v>516</v>
      </c>
      <c r="C47" s="18">
        <v>44.955914</v>
      </c>
      <c r="D47" s="18">
        <v>100.0</v>
      </c>
      <c r="E47" s="18">
        <v>3831.98</v>
      </c>
      <c r="F47" s="17" t="s">
        <v>805</v>
      </c>
    </row>
    <row r="48" ht="22.5" customHeight="1">
      <c r="A48" s="17" t="s">
        <v>97</v>
      </c>
      <c r="B48" s="17" t="s">
        <v>517</v>
      </c>
      <c r="C48" s="18">
        <v>45.952633</v>
      </c>
      <c r="D48" s="18">
        <v>8.0</v>
      </c>
      <c r="E48" s="18">
        <v>12.0</v>
      </c>
      <c r="F48" s="17" t="s">
        <v>806</v>
      </c>
    </row>
    <row r="49" ht="22.5" customHeight="1">
      <c r="A49" s="17" t="s">
        <v>97</v>
      </c>
      <c r="B49" s="17" t="s">
        <v>518</v>
      </c>
      <c r="C49" s="18">
        <v>46.951765</v>
      </c>
      <c r="D49" s="18">
        <v>7.3</v>
      </c>
      <c r="E49" s="18">
        <v>12.0</v>
      </c>
      <c r="F49" s="17" t="s">
        <v>806</v>
      </c>
    </row>
    <row r="50" ht="22.5" customHeight="1">
      <c r="A50" s="17" t="s">
        <v>97</v>
      </c>
      <c r="B50" s="17" t="s">
        <v>519</v>
      </c>
      <c r="C50" s="18">
        <v>47.947947</v>
      </c>
      <c r="D50" s="18">
        <v>73.72</v>
      </c>
      <c r="E50" s="18">
        <v>12.0</v>
      </c>
      <c r="F50" s="17" t="s">
        <v>806</v>
      </c>
    </row>
    <row r="51" ht="22.5" customHeight="1">
      <c r="A51" s="17" t="s">
        <v>97</v>
      </c>
      <c r="B51" s="17" t="s">
        <v>520</v>
      </c>
      <c r="C51" s="18">
        <v>48.947871</v>
      </c>
      <c r="D51" s="18">
        <v>5.5</v>
      </c>
      <c r="E51" s="18">
        <v>12.0</v>
      </c>
      <c r="F51" s="17" t="s">
        <v>806</v>
      </c>
    </row>
    <row r="52" ht="22.5" customHeight="1">
      <c r="A52" s="17" t="s">
        <v>97</v>
      </c>
      <c r="B52" s="17" t="s">
        <v>521</v>
      </c>
      <c r="C52" s="18">
        <v>49.944786</v>
      </c>
      <c r="D52" s="18">
        <v>5.41</v>
      </c>
      <c r="E52" s="18">
        <v>12.0</v>
      </c>
      <c r="F52" s="17" t="s">
        <v>806</v>
      </c>
    </row>
    <row r="53" ht="22.5" customHeight="1">
      <c r="A53" s="17" t="s">
        <v>107</v>
      </c>
      <c r="B53" s="17" t="s">
        <v>522</v>
      </c>
      <c r="C53" s="18">
        <v>49.947161</v>
      </c>
      <c r="D53" s="18">
        <v>0.25</v>
      </c>
      <c r="E53" s="18">
        <v>35.0</v>
      </c>
      <c r="F53" s="17" t="s">
        <v>807</v>
      </c>
    </row>
    <row r="54" ht="22.5" customHeight="1">
      <c r="A54" s="17" t="s">
        <v>107</v>
      </c>
      <c r="B54" s="17" t="s">
        <v>523</v>
      </c>
      <c r="C54" s="18">
        <v>50.943963</v>
      </c>
      <c r="D54" s="18">
        <v>99.75</v>
      </c>
      <c r="E54" s="18">
        <v>35.0</v>
      </c>
      <c r="F54" s="17" t="s">
        <v>807</v>
      </c>
    </row>
    <row r="55" ht="22.5" customHeight="1">
      <c r="A55" s="17" t="s">
        <v>105</v>
      </c>
      <c r="B55" s="17" t="s">
        <v>524</v>
      </c>
      <c r="C55" s="18">
        <v>49.946046</v>
      </c>
      <c r="D55" s="18">
        <v>4.345</v>
      </c>
      <c r="E55" s="18">
        <v>8.5</v>
      </c>
      <c r="F55" s="17" t="s">
        <v>808</v>
      </c>
    </row>
    <row r="56" ht="22.5" customHeight="1">
      <c r="A56" s="17" t="s">
        <v>105</v>
      </c>
      <c r="B56" s="17" t="s">
        <v>525</v>
      </c>
      <c r="C56" s="18">
        <v>51.94051</v>
      </c>
      <c r="D56" s="18">
        <v>83.789</v>
      </c>
      <c r="E56" s="18">
        <v>8.5</v>
      </c>
      <c r="F56" s="17" t="s">
        <v>808</v>
      </c>
    </row>
    <row r="57" ht="22.5" customHeight="1">
      <c r="A57" s="17" t="s">
        <v>105</v>
      </c>
      <c r="B57" s="17" t="s">
        <v>526</v>
      </c>
      <c r="C57" s="18">
        <v>52.940651</v>
      </c>
      <c r="D57" s="18">
        <v>9.501</v>
      </c>
      <c r="E57" s="18">
        <v>8.5</v>
      </c>
      <c r="F57" s="17" t="s">
        <v>808</v>
      </c>
    </row>
    <row r="58" ht="22.5" customHeight="1">
      <c r="A58" s="17" t="s">
        <v>105</v>
      </c>
      <c r="B58" s="17" t="s">
        <v>527</v>
      </c>
      <c r="C58" s="18">
        <v>53.938882</v>
      </c>
      <c r="D58" s="18">
        <v>2.365</v>
      </c>
      <c r="E58" s="18">
        <v>8.5</v>
      </c>
      <c r="F58" s="17" t="s">
        <v>808</v>
      </c>
    </row>
    <row r="59" ht="22.5" customHeight="1">
      <c r="A59" s="17" t="s">
        <v>115</v>
      </c>
      <c r="B59" s="17" t="s">
        <v>528</v>
      </c>
      <c r="C59" s="18">
        <v>54.938046</v>
      </c>
      <c r="D59" s="18">
        <v>100.0</v>
      </c>
      <c r="E59" s="18">
        <v>1.8</v>
      </c>
      <c r="F59" s="17" t="s">
        <v>809</v>
      </c>
    </row>
    <row r="60" ht="22.5" customHeight="1">
      <c r="A60" s="17" t="s">
        <v>113</v>
      </c>
      <c r="B60" s="17" t="s">
        <v>529</v>
      </c>
      <c r="C60" s="18">
        <v>53.939612</v>
      </c>
      <c r="D60" s="18">
        <v>5.845</v>
      </c>
      <c r="E60" s="18">
        <v>0.11</v>
      </c>
      <c r="F60" s="17" t="s">
        <v>810</v>
      </c>
    </row>
    <row r="61" ht="22.5" customHeight="1">
      <c r="A61" s="17" t="s">
        <v>113</v>
      </c>
      <c r="B61" s="17" t="s">
        <v>530</v>
      </c>
      <c r="C61" s="18">
        <v>55.934939</v>
      </c>
      <c r="D61" s="18">
        <v>91.754</v>
      </c>
      <c r="E61" s="18">
        <v>0.11</v>
      </c>
      <c r="F61" s="17" t="s">
        <v>810</v>
      </c>
    </row>
    <row r="62" ht="22.5" customHeight="1">
      <c r="A62" s="17" t="s">
        <v>113</v>
      </c>
      <c r="B62" s="17" t="s">
        <v>531</v>
      </c>
      <c r="C62" s="18">
        <v>56.935396</v>
      </c>
      <c r="D62" s="18">
        <v>2.119</v>
      </c>
      <c r="E62" s="18">
        <v>0.11</v>
      </c>
      <c r="F62" s="17" t="s">
        <v>810</v>
      </c>
    </row>
    <row r="63" ht="22.5" customHeight="1">
      <c r="A63" s="17" t="s">
        <v>113</v>
      </c>
      <c r="B63" s="17" t="s">
        <v>532</v>
      </c>
      <c r="C63" s="18">
        <v>57.933278</v>
      </c>
      <c r="D63" s="18">
        <v>0.282</v>
      </c>
      <c r="E63" s="18">
        <v>0.11</v>
      </c>
      <c r="F63" s="17" t="s">
        <v>810</v>
      </c>
    </row>
    <row r="64" ht="22.5" customHeight="1">
      <c r="A64" s="17" t="s">
        <v>122</v>
      </c>
      <c r="B64" s="17" t="s">
        <v>533</v>
      </c>
      <c r="C64" s="18">
        <v>58.933198</v>
      </c>
      <c r="D64" s="18">
        <v>100.0</v>
      </c>
      <c r="E64" s="18">
        <v>30.0</v>
      </c>
      <c r="F64" s="17" t="s">
        <v>811</v>
      </c>
    </row>
    <row r="65" ht="22.5" customHeight="1">
      <c r="A65" s="17" t="s">
        <v>120</v>
      </c>
      <c r="B65" s="17" t="s">
        <v>534</v>
      </c>
      <c r="C65" s="18">
        <v>57.935347</v>
      </c>
      <c r="D65" s="18">
        <v>68.077</v>
      </c>
      <c r="E65" s="18">
        <v>14.89</v>
      </c>
      <c r="F65" s="17" t="s">
        <v>812</v>
      </c>
    </row>
    <row r="66" ht="22.5" customHeight="1">
      <c r="A66" s="17" t="s">
        <v>120</v>
      </c>
      <c r="B66" s="17" t="s">
        <v>535</v>
      </c>
      <c r="C66" s="18">
        <v>59.930789</v>
      </c>
      <c r="D66" s="18">
        <v>26.223</v>
      </c>
      <c r="E66" s="18">
        <v>14.89</v>
      </c>
      <c r="F66" s="17" t="s">
        <v>812</v>
      </c>
    </row>
    <row r="67" ht="22.5" customHeight="1">
      <c r="A67" s="17" t="s">
        <v>120</v>
      </c>
      <c r="B67" s="17" t="s">
        <v>536</v>
      </c>
      <c r="C67" s="18">
        <v>60.931059</v>
      </c>
      <c r="D67" s="18">
        <v>1.14</v>
      </c>
      <c r="E67" s="18">
        <v>14.89</v>
      </c>
      <c r="F67" s="17" t="s">
        <v>812</v>
      </c>
    </row>
    <row r="68" ht="22.5" customHeight="1">
      <c r="A68" s="17" t="s">
        <v>120</v>
      </c>
      <c r="B68" s="17" t="s">
        <v>537</v>
      </c>
      <c r="C68" s="18">
        <v>61.928346</v>
      </c>
      <c r="D68" s="18">
        <v>3.634</v>
      </c>
      <c r="E68" s="18">
        <v>14.89</v>
      </c>
      <c r="F68" s="17" t="s">
        <v>812</v>
      </c>
    </row>
    <row r="69" ht="22.5" customHeight="1">
      <c r="A69" s="17" t="s">
        <v>120</v>
      </c>
      <c r="B69" s="17" t="s">
        <v>538</v>
      </c>
      <c r="C69" s="18">
        <v>63.927968</v>
      </c>
      <c r="D69" s="18">
        <v>0.926</v>
      </c>
      <c r="E69" s="18">
        <v>14.89</v>
      </c>
      <c r="F69" s="17" t="s">
        <v>812</v>
      </c>
    </row>
    <row r="70" ht="22.5" customHeight="1">
      <c r="A70" s="17" t="s">
        <v>127</v>
      </c>
      <c r="B70" s="17" t="s">
        <v>539</v>
      </c>
      <c r="C70" s="18">
        <v>62.929599</v>
      </c>
      <c r="D70" s="18">
        <v>69.154</v>
      </c>
      <c r="E70" s="18">
        <v>11.0</v>
      </c>
      <c r="F70" s="17" t="s">
        <v>813</v>
      </c>
    </row>
    <row r="71" ht="22.5" customHeight="1">
      <c r="A71" s="17" t="s">
        <v>127</v>
      </c>
      <c r="B71" s="17" t="s">
        <v>540</v>
      </c>
      <c r="C71" s="18">
        <v>64.927792</v>
      </c>
      <c r="D71" s="18">
        <v>30.846</v>
      </c>
      <c r="E71" s="18">
        <v>11.0</v>
      </c>
      <c r="F71" s="17" t="s">
        <v>813</v>
      </c>
    </row>
    <row r="72" ht="22.5" customHeight="1">
      <c r="A72" s="17" t="s">
        <v>130</v>
      </c>
      <c r="B72" s="17" t="s">
        <v>541</v>
      </c>
      <c r="C72" s="18">
        <v>63.929145</v>
      </c>
      <c r="D72" s="18">
        <v>48.268</v>
      </c>
      <c r="E72" s="18">
        <v>3.26</v>
      </c>
      <c r="F72" s="17" t="s">
        <v>814</v>
      </c>
    </row>
    <row r="73" ht="22.5" customHeight="1">
      <c r="A73" s="17" t="s">
        <v>130</v>
      </c>
      <c r="B73" s="17" t="s">
        <v>542</v>
      </c>
      <c r="C73" s="18">
        <v>65.926035</v>
      </c>
      <c r="D73" s="18">
        <v>27.975</v>
      </c>
      <c r="E73" s="18">
        <v>3.26</v>
      </c>
      <c r="F73" s="17" t="s">
        <v>814</v>
      </c>
    </row>
    <row r="74" ht="22.5" customHeight="1">
      <c r="A74" s="17" t="s">
        <v>130</v>
      </c>
      <c r="B74" s="17" t="s">
        <v>543</v>
      </c>
      <c r="C74" s="18">
        <v>66.927129</v>
      </c>
      <c r="D74" s="18">
        <v>4.102</v>
      </c>
      <c r="E74" s="18">
        <v>3.26</v>
      </c>
      <c r="F74" s="17" t="s">
        <v>814</v>
      </c>
    </row>
    <row r="75" ht="22.5" customHeight="1">
      <c r="A75" s="17" t="s">
        <v>130</v>
      </c>
      <c r="B75" s="17" t="s">
        <v>544</v>
      </c>
      <c r="C75" s="18">
        <v>67.924846</v>
      </c>
      <c r="D75" s="18">
        <v>18.745</v>
      </c>
      <c r="E75" s="18">
        <v>3.26</v>
      </c>
      <c r="F75" s="17" t="s">
        <v>814</v>
      </c>
    </row>
    <row r="76" ht="22.5" customHeight="1">
      <c r="A76" s="17" t="s">
        <v>130</v>
      </c>
      <c r="B76" s="17" t="s">
        <v>545</v>
      </c>
      <c r="C76" s="18">
        <v>69.925325</v>
      </c>
      <c r="D76" s="18">
        <v>0.631</v>
      </c>
      <c r="E76" s="18">
        <v>3.26</v>
      </c>
      <c r="F76" s="17" t="s">
        <v>814</v>
      </c>
    </row>
    <row r="77" ht="22.5" customHeight="1">
      <c r="A77" s="17" t="s">
        <v>136</v>
      </c>
      <c r="B77" s="17" t="s">
        <v>546</v>
      </c>
      <c r="C77" s="18">
        <v>68.925581</v>
      </c>
      <c r="D77" s="18">
        <v>60.108</v>
      </c>
      <c r="E77" s="18">
        <v>198.47</v>
      </c>
      <c r="F77" s="17" t="s">
        <v>815</v>
      </c>
    </row>
    <row r="78" ht="22.5" customHeight="1">
      <c r="A78" s="17" t="s">
        <v>136</v>
      </c>
      <c r="B78" s="17" t="s">
        <v>547</v>
      </c>
      <c r="C78" s="18">
        <v>70.924701</v>
      </c>
      <c r="D78" s="18">
        <v>39.892</v>
      </c>
      <c r="E78" s="18">
        <v>198.47</v>
      </c>
      <c r="F78" s="17" t="s">
        <v>815</v>
      </c>
    </row>
    <row r="79" ht="22.5" customHeight="1">
      <c r="A79" s="17" t="s">
        <v>138</v>
      </c>
      <c r="B79" s="17" t="s">
        <v>548</v>
      </c>
      <c r="C79" s="18">
        <v>69.92425</v>
      </c>
      <c r="D79" s="18">
        <v>20.5</v>
      </c>
      <c r="E79" s="18">
        <v>1782.0</v>
      </c>
      <c r="F79" s="17" t="s">
        <v>815</v>
      </c>
    </row>
    <row r="80" ht="22.5" customHeight="1">
      <c r="A80" s="17" t="s">
        <v>138</v>
      </c>
      <c r="B80" s="17" t="s">
        <v>549</v>
      </c>
      <c r="C80" s="18">
        <v>71.92208</v>
      </c>
      <c r="D80" s="18">
        <v>27.4</v>
      </c>
      <c r="E80" s="18">
        <v>1782.0</v>
      </c>
      <c r="F80" s="17" t="s">
        <v>815</v>
      </c>
    </row>
    <row r="81" ht="22.5" customHeight="1">
      <c r="A81" s="17" t="s">
        <v>138</v>
      </c>
      <c r="B81" s="17" t="s">
        <v>550</v>
      </c>
      <c r="C81" s="18">
        <v>72.923464</v>
      </c>
      <c r="D81" s="18">
        <v>7.8</v>
      </c>
      <c r="E81" s="18">
        <v>1782.0</v>
      </c>
      <c r="F81" s="17" t="s">
        <v>815</v>
      </c>
    </row>
    <row r="82" ht="22.5" customHeight="1">
      <c r="A82" s="17" t="s">
        <v>138</v>
      </c>
      <c r="B82" s="17" t="s">
        <v>551</v>
      </c>
      <c r="C82" s="18">
        <v>73.921179</v>
      </c>
      <c r="D82" s="18">
        <v>36.5</v>
      </c>
      <c r="E82" s="18">
        <v>1782.0</v>
      </c>
      <c r="F82" s="17" t="s">
        <v>815</v>
      </c>
    </row>
    <row r="83" ht="22.5" customHeight="1">
      <c r="A83" s="17" t="s">
        <v>138</v>
      </c>
      <c r="B83" s="17" t="s">
        <v>552</v>
      </c>
      <c r="C83" s="18">
        <v>75.921403</v>
      </c>
      <c r="D83" s="18">
        <v>7.8</v>
      </c>
      <c r="E83" s="18">
        <v>1782.0</v>
      </c>
      <c r="F83" s="17" t="s">
        <v>815</v>
      </c>
    </row>
    <row r="84" ht="22.5" customHeight="1">
      <c r="A84" s="17" t="s">
        <v>147</v>
      </c>
      <c r="B84" s="17" t="s">
        <v>553</v>
      </c>
      <c r="C84" s="18">
        <v>74.921596</v>
      </c>
      <c r="D84" s="18">
        <v>100.0</v>
      </c>
      <c r="E84" s="18">
        <v>2.5</v>
      </c>
      <c r="F84" s="17" t="s">
        <v>816</v>
      </c>
    </row>
    <row r="85" ht="22.5" customHeight="1">
      <c r="A85" s="17" t="s">
        <v>145</v>
      </c>
      <c r="B85" s="17" t="s">
        <v>554</v>
      </c>
      <c r="C85" s="18">
        <v>73.922477</v>
      </c>
      <c r="D85" s="18">
        <v>0.89</v>
      </c>
      <c r="E85" s="18">
        <v>85.0</v>
      </c>
      <c r="F85" s="17" t="s">
        <v>817</v>
      </c>
    </row>
    <row r="86" ht="22.5" customHeight="1">
      <c r="A86" s="17" t="s">
        <v>145</v>
      </c>
      <c r="B86" s="17" t="s">
        <v>555</v>
      </c>
      <c r="C86" s="18">
        <v>75.919207</v>
      </c>
      <c r="D86" s="18">
        <v>9.37</v>
      </c>
      <c r="E86" s="18">
        <v>85.0</v>
      </c>
      <c r="F86" s="17" t="s">
        <v>817</v>
      </c>
    </row>
    <row r="87" ht="22.5" customHeight="1">
      <c r="A87" s="17" t="s">
        <v>145</v>
      </c>
      <c r="B87" s="17" t="s">
        <v>556</v>
      </c>
      <c r="C87" s="18">
        <v>76.919908</v>
      </c>
      <c r="D87" s="18">
        <v>7.63</v>
      </c>
      <c r="E87" s="18">
        <v>85.0</v>
      </c>
      <c r="F87" s="17" t="s">
        <v>817</v>
      </c>
    </row>
    <row r="88" ht="22.5" customHeight="1">
      <c r="A88" s="17" t="s">
        <v>145</v>
      </c>
      <c r="B88" s="17" t="s">
        <v>557</v>
      </c>
      <c r="C88" s="18">
        <v>77.917304</v>
      </c>
      <c r="D88" s="18">
        <v>23.77</v>
      </c>
      <c r="E88" s="18">
        <v>85.0</v>
      </c>
      <c r="F88" s="17" t="s">
        <v>817</v>
      </c>
    </row>
    <row r="89" ht="22.5" customHeight="1">
      <c r="A89" s="17" t="s">
        <v>145</v>
      </c>
      <c r="B89" s="17" t="s">
        <v>558</v>
      </c>
      <c r="C89" s="18">
        <v>79.916521</v>
      </c>
      <c r="D89" s="18">
        <v>49.61</v>
      </c>
      <c r="E89" s="18">
        <v>85.0</v>
      </c>
      <c r="F89" s="17" t="s">
        <v>817</v>
      </c>
    </row>
    <row r="90" ht="22.5" customHeight="1">
      <c r="A90" s="17" t="s">
        <v>145</v>
      </c>
      <c r="B90" s="17" t="s">
        <v>559</v>
      </c>
      <c r="C90" s="18">
        <v>81.916709</v>
      </c>
      <c r="D90" s="18">
        <v>8.73</v>
      </c>
      <c r="E90" s="18">
        <v>85.0</v>
      </c>
      <c r="F90" s="17" t="s">
        <v>817</v>
      </c>
    </row>
    <row r="91" ht="22.5" customHeight="1">
      <c r="A91" s="17" t="s">
        <v>155</v>
      </c>
      <c r="B91" s="17" t="s">
        <v>560</v>
      </c>
      <c r="C91" s="18">
        <v>78.918336</v>
      </c>
      <c r="D91" s="18">
        <v>50.69</v>
      </c>
      <c r="E91" s="18">
        <v>5.2</v>
      </c>
      <c r="F91" s="17" t="s">
        <v>818</v>
      </c>
    </row>
    <row r="92" ht="22.5" customHeight="1">
      <c r="A92" s="17" t="s">
        <v>155</v>
      </c>
      <c r="B92" s="17" t="s">
        <v>561</v>
      </c>
      <c r="C92" s="18">
        <v>80.91629</v>
      </c>
      <c r="D92" s="18">
        <v>49.31</v>
      </c>
      <c r="E92" s="18">
        <v>5.2</v>
      </c>
      <c r="F92" s="17" t="s">
        <v>818</v>
      </c>
    </row>
    <row r="93" ht="22.5" customHeight="1">
      <c r="A93" s="17" t="s">
        <v>153</v>
      </c>
      <c r="B93" s="17" t="s">
        <v>562</v>
      </c>
      <c r="C93" s="18">
        <v>77.920397</v>
      </c>
      <c r="D93" s="18">
        <v>0.35</v>
      </c>
      <c r="E93" s="18">
        <v>15.0</v>
      </c>
      <c r="F93" s="17" t="s">
        <v>819</v>
      </c>
    </row>
    <row r="94" ht="22.5" customHeight="1">
      <c r="A94" s="17" t="s">
        <v>153</v>
      </c>
      <c r="B94" s="17" t="s">
        <v>563</v>
      </c>
      <c r="C94" s="18">
        <v>79.916375</v>
      </c>
      <c r="D94" s="18">
        <v>2.25</v>
      </c>
      <c r="E94" s="18">
        <v>15.0</v>
      </c>
      <c r="F94" s="17" t="s">
        <v>819</v>
      </c>
    </row>
    <row r="95" ht="22.5" customHeight="1">
      <c r="A95" s="17" t="s">
        <v>153</v>
      </c>
      <c r="B95" s="17" t="s">
        <v>564</v>
      </c>
      <c r="C95" s="18">
        <v>81.913483</v>
      </c>
      <c r="D95" s="18">
        <v>11.6</v>
      </c>
      <c r="E95" s="18">
        <v>15.0</v>
      </c>
      <c r="F95" s="17" t="s">
        <v>819</v>
      </c>
    </row>
    <row r="96" ht="22.5" customHeight="1">
      <c r="A96" s="17" t="s">
        <v>153</v>
      </c>
      <c r="B96" s="17" t="s">
        <v>565</v>
      </c>
      <c r="C96" s="18">
        <v>82.914134</v>
      </c>
      <c r="D96" s="18">
        <v>11.5</v>
      </c>
      <c r="E96" s="18">
        <v>15.0</v>
      </c>
      <c r="F96" s="17" t="s">
        <v>819</v>
      </c>
    </row>
    <row r="97" ht="22.5" customHeight="1">
      <c r="A97" s="17" t="s">
        <v>153</v>
      </c>
      <c r="B97" s="17" t="s">
        <v>566</v>
      </c>
      <c r="C97" s="18">
        <v>83.911506</v>
      </c>
      <c r="D97" s="18">
        <v>57.0</v>
      </c>
      <c r="E97" s="18">
        <v>15.0</v>
      </c>
      <c r="F97" s="17" t="s">
        <v>819</v>
      </c>
    </row>
    <row r="98" ht="22.5" customHeight="1">
      <c r="A98" s="17" t="s">
        <v>153</v>
      </c>
      <c r="B98" s="17" t="s">
        <v>567</v>
      </c>
      <c r="C98" s="18">
        <v>85.910614</v>
      </c>
      <c r="D98" s="18">
        <v>17.3</v>
      </c>
      <c r="E98" s="18">
        <v>15.0</v>
      </c>
      <c r="F98" s="17" t="s">
        <v>819</v>
      </c>
    </row>
    <row r="99" ht="22.5" customHeight="1">
      <c r="A99" s="17" t="s">
        <v>166</v>
      </c>
      <c r="B99" s="17" t="s">
        <v>568</v>
      </c>
      <c r="C99" s="18">
        <v>84.9118</v>
      </c>
      <c r="D99" s="18">
        <v>72.17</v>
      </c>
      <c r="E99" s="18">
        <v>125.0</v>
      </c>
      <c r="F99" s="17" t="s">
        <v>820</v>
      </c>
    </row>
    <row r="100" ht="22.5" customHeight="1">
      <c r="A100" s="17" t="s">
        <v>166</v>
      </c>
      <c r="B100" s="17" t="s">
        <v>569</v>
      </c>
      <c r="C100" s="18">
        <v>86.909184</v>
      </c>
      <c r="D100" s="18">
        <v>27.83</v>
      </c>
      <c r="E100" s="18">
        <v>150.0</v>
      </c>
      <c r="F100" s="17" t="s">
        <v>820</v>
      </c>
    </row>
    <row r="101" ht="22.5" customHeight="1">
      <c r="A101" s="17" t="s">
        <v>164</v>
      </c>
      <c r="B101" s="17" t="s">
        <v>570</v>
      </c>
      <c r="C101" s="18">
        <v>83.913428</v>
      </c>
      <c r="D101" s="18">
        <v>0.56</v>
      </c>
      <c r="E101" s="18">
        <v>8.5</v>
      </c>
      <c r="F101" s="17" t="s">
        <v>821</v>
      </c>
    </row>
    <row r="102" ht="22.5" customHeight="1">
      <c r="A102" s="17" t="s">
        <v>164</v>
      </c>
      <c r="B102" s="17" t="s">
        <v>571</v>
      </c>
      <c r="C102" s="18">
        <v>85.909273</v>
      </c>
      <c r="D102" s="18">
        <v>9.86</v>
      </c>
      <c r="E102" s="18">
        <v>8.5</v>
      </c>
      <c r="F102" s="17" t="s">
        <v>821</v>
      </c>
    </row>
    <row r="103" ht="22.5" customHeight="1">
      <c r="A103" s="17" t="s">
        <v>164</v>
      </c>
      <c r="B103" s="17" t="s">
        <v>572</v>
      </c>
      <c r="C103" s="18">
        <v>86.908902</v>
      </c>
      <c r="D103" s="18">
        <v>7.0</v>
      </c>
      <c r="E103" s="18">
        <v>8.5</v>
      </c>
      <c r="F103" s="17" t="s">
        <v>821</v>
      </c>
    </row>
    <row r="104" ht="22.5" customHeight="1">
      <c r="A104" s="17" t="s">
        <v>164</v>
      </c>
      <c r="B104" s="17" t="s">
        <v>573</v>
      </c>
      <c r="C104" s="18">
        <v>87.905625</v>
      </c>
      <c r="D104" s="18">
        <v>82.58</v>
      </c>
      <c r="E104" s="18">
        <v>8.5</v>
      </c>
      <c r="F104" s="17" t="s">
        <v>821</v>
      </c>
    </row>
    <row r="105" ht="22.5" customHeight="1">
      <c r="A105" s="17" t="s">
        <v>173</v>
      </c>
      <c r="B105" s="17" t="s">
        <v>574</v>
      </c>
      <c r="C105" s="18">
        <v>88.905856</v>
      </c>
      <c r="D105" s="18">
        <v>100.0</v>
      </c>
      <c r="E105" s="18">
        <v>29.29</v>
      </c>
      <c r="F105" s="17" t="s">
        <v>822</v>
      </c>
    </row>
    <row r="106" ht="22.5" customHeight="1">
      <c r="A106" s="17" t="s">
        <v>175</v>
      </c>
      <c r="B106" s="17" t="s">
        <v>575</v>
      </c>
      <c r="C106" s="18">
        <v>89.904708</v>
      </c>
      <c r="D106" s="18">
        <v>51.45</v>
      </c>
      <c r="E106" s="18">
        <v>39.0</v>
      </c>
      <c r="F106" s="17" t="s">
        <v>823</v>
      </c>
    </row>
    <row r="107" ht="22.5" customHeight="1">
      <c r="A107" s="17" t="s">
        <v>175</v>
      </c>
      <c r="B107" s="17" t="s">
        <v>576</v>
      </c>
      <c r="C107" s="18">
        <v>90.905645</v>
      </c>
      <c r="D107" s="18">
        <v>11.27</v>
      </c>
      <c r="E107" s="18">
        <v>39.0</v>
      </c>
      <c r="F107" s="17" t="s">
        <v>823</v>
      </c>
    </row>
    <row r="108" ht="22.5" customHeight="1">
      <c r="A108" s="17" t="s">
        <v>175</v>
      </c>
      <c r="B108" s="17" t="s">
        <v>577</v>
      </c>
      <c r="C108" s="18">
        <v>91.905039</v>
      </c>
      <c r="D108" s="18">
        <v>17.17</v>
      </c>
      <c r="E108" s="18">
        <v>39.0</v>
      </c>
      <c r="F108" s="17" t="s">
        <v>823</v>
      </c>
    </row>
    <row r="109" ht="22.5" customHeight="1">
      <c r="A109" s="17" t="s">
        <v>175</v>
      </c>
      <c r="B109" s="17" t="s">
        <v>578</v>
      </c>
      <c r="C109" s="18">
        <v>93.906319</v>
      </c>
      <c r="D109" s="18">
        <v>17.33</v>
      </c>
      <c r="E109" s="18">
        <v>39.0</v>
      </c>
      <c r="F109" s="17" t="s">
        <v>823</v>
      </c>
    </row>
    <row r="110" ht="22.5" customHeight="1">
      <c r="A110" s="17" t="s">
        <v>175</v>
      </c>
      <c r="B110" s="17" t="s">
        <v>579</v>
      </c>
      <c r="C110" s="18">
        <v>95.908272</v>
      </c>
      <c r="D110" s="18">
        <v>2.78</v>
      </c>
      <c r="E110" s="18">
        <v>39.0</v>
      </c>
      <c r="F110" s="17" t="s">
        <v>823</v>
      </c>
    </row>
    <row r="111" ht="22.5" customHeight="1">
      <c r="A111" s="17" t="s">
        <v>181</v>
      </c>
      <c r="B111" s="17" t="s">
        <v>580</v>
      </c>
      <c r="C111" s="18">
        <v>92.906378</v>
      </c>
      <c r="D111" s="18">
        <v>100.0</v>
      </c>
      <c r="E111" s="18">
        <v>45.0</v>
      </c>
      <c r="F111" s="17" t="s">
        <v>824</v>
      </c>
    </row>
    <row r="112" ht="22.5" customHeight="1">
      <c r="A112" s="17" t="s">
        <v>179</v>
      </c>
      <c r="B112" s="17" t="s">
        <v>581</v>
      </c>
      <c r="C112" s="18">
        <v>91.906809</v>
      </c>
      <c r="D112" s="18">
        <v>14.84</v>
      </c>
      <c r="E112" s="18">
        <v>38.0</v>
      </c>
      <c r="F112" s="17" t="s">
        <v>825</v>
      </c>
    </row>
    <row r="113" ht="22.5" customHeight="1">
      <c r="A113" s="17" t="s">
        <v>179</v>
      </c>
      <c r="B113" s="17" t="s">
        <v>582</v>
      </c>
      <c r="C113" s="18">
        <v>93.905086</v>
      </c>
      <c r="D113" s="18">
        <v>9.25</v>
      </c>
      <c r="E113" s="18">
        <v>38.0</v>
      </c>
      <c r="F113" s="17" t="s">
        <v>825</v>
      </c>
    </row>
    <row r="114" ht="22.5" customHeight="1">
      <c r="A114" s="17" t="s">
        <v>179</v>
      </c>
      <c r="B114" s="17" t="s">
        <v>583</v>
      </c>
      <c r="C114" s="18">
        <v>94.905838</v>
      </c>
      <c r="D114" s="18">
        <v>15.92</v>
      </c>
      <c r="E114" s="18">
        <v>38.0</v>
      </c>
      <c r="F114" s="17" t="s">
        <v>825</v>
      </c>
    </row>
    <row r="115" ht="22.5" customHeight="1">
      <c r="A115" s="17" t="s">
        <v>179</v>
      </c>
      <c r="B115" s="17" t="s">
        <v>584</v>
      </c>
      <c r="C115" s="18">
        <v>95.904676</v>
      </c>
      <c r="D115" s="18">
        <v>16.68</v>
      </c>
      <c r="E115" s="18">
        <v>38.0</v>
      </c>
      <c r="F115" s="17" t="s">
        <v>825</v>
      </c>
    </row>
    <row r="116" ht="22.5" customHeight="1">
      <c r="A116" s="17" t="s">
        <v>179</v>
      </c>
      <c r="B116" s="17" t="s">
        <v>585</v>
      </c>
      <c r="C116" s="18">
        <v>96.906018</v>
      </c>
      <c r="D116" s="18">
        <v>9.55</v>
      </c>
      <c r="E116" s="18">
        <v>38.0</v>
      </c>
      <c r="F116" s="17" t="s">
        <v>825</v>
      </c>
    </row>
    <row r="117" ht="22.5" customHeight="1">
      <c r="A117" s="17" t="s">
        <v>179</v>
      </c>
      <c r="B117" s="17" t="s">
        <v>586</v>
      </c>
      <c r="C117" s="18">
        <v>97.905405</v>
      </c>
      <c r="D117" s="18">
        <v>24.13</v>
      </c>
      <c r="E117" s="18">
        <v>38.0</v>
      </c>
      <c r="F117" s="17" t="s">
        <v>825</v>
      </c>
    </row>
    <row r="118" ht="22.5" customHeight="1">
      <c r="A118" s="17" t="s">
        <v>179</v>
      </c>
      <c r="B118" s="17" t="s">
        <v>587</v>
      </c>
      <c r="C118" s="18">
        <v>99.907473</v>
      </c>
      <c r="D118" s="18">
        <v>9.63</v>
      </c>
      <c r="E118" s="18">
        <v>38.0</v>
      </c>
      <c r="F118" s="17" t="s">
        <v>825</v>
      </c>
    </row>
    <row r="119" ht="22.5" customHeight="1">
      <c r="A119" s="17" t="s">
        <v>187</v>
      </c>
      <c r="B119" s="17" t="s">
        <v>588</v>
      </c>
      <c r="C119" s="18">
        <v>95.907596</v>
      </c>
      <c r="D119" s="18">
        <v>5.52</v>
      </c>
      <c r="E119" s="18">
        <v>15500.0</v>
      </c>
      <c r="F119" s="17" t="s">
        <v>826</v>
      </c>
    </row>
    <row r="120" ht="22.5" customHeight="1">
      <c r="A120" s="17" t="s">
        <v>187</v>
      </c>
      <c r="B120" s="17" t="s">
        <v>589</v>
      </c>
      <c r="C120" s="18">
        <v>97.905287</v>
      </c>
      <c r="D120" s="18">
        <v>1.88</v>
      </c>
      <c r="E120" s="18">
        <v>15500.0</v>
      </c>
      <c r="F120" s="17" t="s">
        <v>826</v>
      </c>
    </row>
    <row r="121" ht="22.5" customHeight="1">
      <c r="A121" s="17" t="s">
        <v>187</v>
      </c>
      <c r="B121" s="17" t="s">
        <v>590</v>
      </c>
      <c r="C121" s="18">
        <v>98.905937</v>
      </c>
      <c r="D121" s="18">
        <v>12.7</v>
      </c>
      <c r="E121" s="18">
        <v>15500.0</v>
      </c>
      <c r="F121" s="17" t="s">
        <v>826</v>
      </c>
    </row>
    <row r="122" ht="22.5" customHeight="1">
      <c r="A122" s="17" t="s">
        <v>187</v>
      </c>
      <c r="B122" s="17" t="s">
        <v>591</v>
      </c>
      <c r="C122" s="18">
        <v>99.904218</v>
      </c>
      <c r="D122" s="18">
        <v>12.6</v>
      </c>
      <c r="E122" s="18">
        <v>15500.0</v>
      </c>
      <c r="F122" s="17" t="s">
        <v>826</v>
      </c>
    </row>
    <row r="123" ht="22.5" customHeight="1">
      <c r="A123" s="17" t="s">
        <v>187</v>
      </c>
      <c r="B123" s="17" t="s">
        <v>592</v>
      </c>
      <c r="C123" s="18">
        <v>100.905581</v>
      </c>
      <c r="D123" s="18">
        <v>17.0</v>
      </c>
      <c r="E123" s="18">
        <v>15500.0</v>
      </c>
      <c r="F123" s="17" t="s">
        <v>826</v>
      </c>
    </row>
    <row r="124" ht="22.5" customHeight="1">
      <c r="A124" s="17" t="s">
        <v>187</v>
      </c>
      <c r="B124" s="17" t="s">
        <v>593</v>
      </c>
      <c r="C124" s="18">
        <v>101.904348</v>
      </c>
      <c r="D124" s="18">
        <v>31.6</v>
      </c>
      <c r="E124" s="18">
        <v>15500.0</v>
      </c>
      <c r="F124" s="17" t="s">
        <v>826</v>
      </c>
    </row>
    <row r="125" ht="22.5" customHeight="1">
      <c r="A125" s="17" t="s">
        <v>187</v>
      </c>
      <c r="B125" s="17" t="s">
        <v>594</v>
      </c>
      <c r="C125" s="18">
        <v>103.905422</v>
      </c>
      <c r="D125" s="18">
        <v>18.7</v>
      </c>
      <c r="E125" s="18">
        <v>15500.0</v>
      </c>
      <c r="F125" s="17" t="s">
        <v>826</v>
      </c>
    </row>
    <row r="126" ht="22.5" customHeight="1">
      <c r="A126" s="17" t="s">
        <v>200</v>
      </c>
      <c r="B126" s="17" t="s">
        <v>595</v>
      </c>
      <c r="C126" s="18">
        <v>102.905503</v>
      </c>
      <c r="D126" s="18">
        <v>100.0</v>
      </c>
      <c r="E126" s="18">
        <v>252.55</v>
      </c>
      <c r="F126" s="17" t="s">
        <v>827</v>
      </c>
    </row>
    <row r="127" ht="22.5" customHeight="1">
      <c r="A127" s="17" t="s">
        <v>198</v>
      </c>
      <c r="B127" s="17" t="s">
        <v>596</v>
      </c>
      <c r="C127" s="18">
        <v>101.905609</v>
      </c>
      <c r="D127" s="18">
        <v>1.02</v>
      </c>
      <c r="E127" s="18">
        <v>36.81</v>
      </c>
      <c r="F127" s="17" t="s">
        <v>828</v>
      </c>
    </row>
    <row r="128" ht="22.5" customHeight="1">
      <c r="A128" s="17" t="s">
        <v>198</v>
      </c>
      <c r="B128" s="17" t="s">
        <v>597</v>
      </c>
      <c r="C128" s="18">
        <v>103.904026</v>
      </c>
      <c r="D128" s="18">
        <v>11.14</v>
      </c>
      <c r="E128" s="18">
        <v>36.81</v>
      </c>
      <c r="F128" s="17" t="s">
        <v>828</v>
      </c>
    </row>
    <row r="129" ht="22.5" customHeight="1">
      <c r="A129" s="17" t="s">
        <v>198</v>
      </c>
      <c r="B129" s="17" t="s">
        <v>598</v>
      </c>
      <c r="C129" s="18">
        <v>104.905075</v>
      </c>
      <c r="D129" s="18">
        <v>22.33</v>
      </c>
      <c r="E129" s="18">
        <v>36.81</v>
      </c>
      <c r="F129" s="17" t="s">
        <v>828</v>
      </c>
    </row>
    <row r="130" ht="22.5" customHeight="1">
      <c r="A130" s="17" t="s">
        <v>198</v>
      </c>
      <c r="B130" s="17" t="s">
        <v>599</v>
      </c>
      <c r="C130" s="18">
        <v>105.903475</v>
      </c>
      <c r="D130" s="18">
        <v>27.33</v>
      </c>
      <c r="E130" s="18">
        <v>36.81</v>
      </c>
      <c r="F130" s="17" t="s">
        <v>828</v>
      </c>
    </row>
    <row r="131" ht="22.5" customHeight="1">
      <c r="A131" s="17" t="s">
        <v>198</v>
      </c>
      <c r="B131" s="17" t="s">
        <v>600</v>
      </c>
      <c r="C131" s="18">
        <v>107.903894</v>
      </c>
      <c r="D131" s="18">
        <v>26.46</v>
      </c>
      <c r="E131" s="18">
        <v>36.81</v>
      </c>
      <c r="F131" s="17" t="s">
        <v>828</v>
      </c>
    </row>
    <row r="132" ht="22.5" customHeight="1">
      <c r="A132" s="17" t="s">
        <v>198</v>
      </c>
      <c r="B132" s="17" t="s">
        <v>601</v>
      </c>
      <c r="C132" s="18">
        <v>109.905169</v>
      </c>
      <c r="D132" s="18">
        <v>11.72</v>
      </c>
      <c r="E132" s="18">
        <v>36.81</v>
      </c>
      <c r="F132" s="17" t="s">
        <v>828</v>
      </c>
    </row>
    <row r="133" ht="22.5" customHeight="1">
      <c r="A133" s="17" t="s">
        <v>208</v>
      </c>
      <c r="B133" s="17" t="s">
        <v>602</v>
      </c>
      <c r="C133" s="18">
        <v>106.905095</v>
      </c>
      <c r="D133" s="18">
        <v>51.839</v>
      </c>
      <c r="E133" s="18">
        <v>1.68</v>
      </c>
      <c r="F133" s="17" t="s">
        <v>829</v>
      </c>
    </row>
    <row r="134" ht="22.5" customHeight="1">
      <c r="A134" s="17" t="s">
        <v>208</v>
      </c>
      <c r="B134" s="17" t="s">
        <v>603</v>
      </c>
      <c r="C134" s="18">
        <v>108.904754</v>
      </c>
      <c r="D134" s="18">
        <v>48.161</v>
      </c>
      <c r="E134" s="18">
        <v>1.68</v>
      </c>
      <c r="F134" s="17" t="s">
        <v>829</v>
      </c>
    </row>
    <row r="135" ht="22.5" customHeight="1">
      <c r="A135" s="17" t="s">
        <v>206</v>
      </c>
      <c r="B135" s="17" t="s">
        <v>604</v>
      </c>
      <c r="C135" s="18">
        <v>105.906461</v>
      </c>
      <c r="D135" s="18">
        <v>1.25</v>
      </c>
      <c r="E135" s="18">
        <v>4.5</v>
      </c>
      <c r="F135" s="17" t="s">
        <v>830</v>
      </c>
    </row>
    <row r="136" ht="22.5" customHeight="1">
      <c r="A136" s="17" t="s">
        <v>206</v>
      </c>
      <c r="B136" s="17" t="s">
        <v>605</v>
      </c>
      <c r="C136" s="18">
        <v>107.904186</v>
      </c>
      <c r="D136" s="18">
        <v>0.89</v>
      </c>
      <c r="E136" s="18">
        <v>4.5</v>
      </c>
      <c r="F136" s="17" t="s">
        <v>830</v>
      </c>
    </row>
    <row r="137" ht="22.5" customHeight="1">
      <c r="A137" s="17" t="s">
        <v>206</v>
      </c>
      <c r="B137" s="17" t="s">
        <v>606</v>
      </c>
      <c r="C137" s="18">
        <v>109.903007</v>
      </c>
      <c r="D137" s="18">
        <v>12.49</v>
      </c>
      <c r="E137" s="18">
        <v>4.5</v>
      </c>
      <c r="F137" s="17" t="s">
        <v>830</v>
      </c>
    </row>
    <row r="138" ht="22.5" customHeight="1">
      <c r="A138" s="17" t="s">
        <v>206</v>
      </c>
      <c r="B138" s="17" t="s">
        <v>607</v>
      </c>
      <c r="C138" s="18">
        <v>110.904182</v>
      </c>
      <c r="D138" s="18">
        <v>12.8</v>
      </c>
      <c r="E138" s="18">
        <v>4.5</v>
      </c>
      <c r="F138" s="17" t="s">
        <v>830</v>
      </c>
    </row>
    <row r="139" ht="22.5" customHeight="1">
      <c r="A139" s="17" t="s">
        <v>206</v>
      </c>
      <c r="B139" s="17" t="s">
        <v>608</v>
      </c>
      <c r="C139" s="18">
        <v>111.902761</v>
      </c>
      <c r="D139" s="18">
        <v>24.13</v>
      </c>
      <c r="E139" s="18">
        <v>4.5</v>
      </c>
      <c r="F139" s="17" t="s">
        <v>830</v>
      </c>
    </row>
    <row r="140" ht="22.5" customHeight="1">
      <c r="A140" s="17" t="s">
        <v>206</v>
      </c>
      <c r="B140" s="17" t="s">
        <v>609</v>
      </c>
      <c r="C140" s="18">
        <v>112.904401</v>
      </c>
      <c r="D140" s="18">
        <v>12.22</v>
      </c>
      <c r="E140" s="18">
        <v>4.5</v>
      </c>
      <c r="F140" s="17" t="s">
        <v>830</v>
      </c>
    </row>
    <row r="141" ht="22.5" customHeight="1">
      <c r="A141" s="17" t="s">
        <v>206</v>
      </c>
      <c r="B141" s="17" t="s">
        <v>610</v>
      </c>
      <c r="C141" s="18">
        <v>113.903361</v>
      </c>
      <c r="D141" s="18">
        <v>28.73</v>
      </c>
      <c r="E141" s="18">
        <v>4.5</v>
      </c>
      <c r="F141" s="17" t="s">
        <v>830</v>
      </c>
    </row>
    <row r="142" ht="22.5" customHeight="1">
      <c r="A142" s="17" t="s">
        <v>206</v>
      </c>
      <c r="B142" s="17" t="s">
        <v>611</v>
      </c>
      <c r="C142" s="18">
        <v>115.904758</v>
      </c>
      <c r="D142" s="18">
        <v>7.49</v>
      </c>
      <c r="E142" s="18">
        <v>4.5</v>
      </c>
      <c r="F142" s="17" t="s">
        <v>830</v>
      </c>
    </row>
    <row r="143" ht="22.5" customHeight="1">
      <c r="A143" s="17" t="s">
        <v>219</v>
      </c>
      <c r="B143" s="17" t="s">
        <v>612</v>
      </c>
      <c r="C143" s="18">
        <v>112.904056</v>
      </c>
      <c r="D143" s="18">
        <v>4.29</v>
      </c>
      <c r="E143" s="18">
        <v>322.6</v>
      </c>
      <c r="F143" s="17" t="s">
        <v>815</v>
      </c>
    </row>
    <row r="144" ht="22.5" customHeight="1">
      <c r="A144" s="17" t="s">
        <v>219</v>
      </c>
      <c r="B144" s="17" t="s">
        <v>613</v>
      </c>
      <c r="C144" s="18">
        <v>114.903875</v>
      </c>
      <c r="D144" s="18">
        <v>95.71</v>
      </c>
      <c r="E144" s="18">
        <v>322.6</v>
      </c>
      <c r="F144" s="17" t="s">
        <v>815</v>
      </c>
    </row>
    <row r="145" ht="22.5" customHeight="1">
      <c r="A145" s="17" t="s">
        <v>217</v>
      </c>
      <c r="B145" s="17" t="s">
        <v>614</v>
      </c>
      <c r="C145" s="18">
        <v>111.904826</v>
      </c>
      <c r="D145" s="18">
        <v>0.97</v>
      </c>
      <c r="E145" s="18">
        <v>39.13</v>
      </c>
      <c r="F145" s="17" t="s">
        <v>831</v>
      </c>
    </row>
    <row r="146" ht="22.5" customHeight="1">
      <c r="A146" s="17" t="s">
        <v>217</v>
      </c>
      <c r="B146" s="17" t="s">
        <v>615</v>
      </c>
      <c r="C146" s="18">
        <v>113.902784</v>
      </c>
      <c r="D146" s="18">
        <v>0.65</v>
      </c>
      <c r="E146" s="18">
        <v>39.13</v>
      </c>
      <c r="F146" s="17" t="s">
        <v>831</v>
      </c>
    </row>
    <row r="147" ht="22.5" customHeight="1">
      <c r="A147" s="17" t="s">
        <v>217</v>
      </c>
      <c r="B147" s="17" t="s">
        <v>616</v>
      </c>
      <c r="C147" s="18">
        <v>114.903348</v>
      </c>
      <c r="D147" s="18">
        <v>0.36</v>
      </c>
      <c r="E147" s="18">
        <v>39.13</v>
      </c>
      <c r="F147" s="17" t="s">
        <v>831</v>
      </c>
    </row>
    <row r="148" ht="22.5" customHeight="1">
      <c r="A148" s="17" t="s">
        <v>217</v>
      </c>
      <c r="B148" s="17" t="s">
        <v>617</v>
      </c>
      <c r="C148" s="18">
        <v>115.901744</v>
      </c>
      <c r="D148" s="18">
        <v>14.7</v>
      </c>
      <c r="E148" s="18">
        <v>39.13</v>
      </c>
      <c r="F148" s="17" t="s">
        <v>831</v>
      </c>
    </row>
    <row r="149" ht="22.5" customHeight="1">
      <c r="A149" s="17" t="s">
        <v>217</v>
      </c>
      <c r="B149" s="17" t="s">
        <v>618</v>
      </c>
      <c r="C149" s="18">
        <v>116.902954</v>
      </c>
      <c r="D149" s="18">
        <v>7.7</v>
      </c>
      <c r="E149" s="18">
        <v>39.13</v>
      </c>
      <c r="F149" s="17" t="s">
        <v>831</v>
      </c>
    </row>
    <row r="150" ht="22.5" customHeight="1">
      <c r="A150" s="17" t="s">
        <v>217</v>
      </c>
      <c r="B150" s="17" t="s">
        <v>619</v>
      </c>
      <c r="C150" s="18">
        <v>117.901607</v>
      </c>
      <c r="D150" s="18">
        <v>24.3</v>
      </c>
      <c r="E150" s="18">
        <v>39.13</v>
      </c>
      <c r="F150" s="17" t="s">
        <v>831</v>
      </c>
    </row>
    <row r="151" ht="22.5" customHeight="1">
      <c r="A151" s="17" t="s">
        <v>217</v>
      </c>
      <c r="B151" s="17" t="s">
        <v>620</v>
      </c>
      <c r="C151" s="18">
        <v>118.90331</v>
      </c>
      <c r="D151" s="18">
        <v>8.6</v>
      </c>
      <c r="E151" s="18">
        <v>39.13</v>
      </c>
      <c r="F151" s="17" t="s">
        <v>831</v>
      </c>
    </row>
    <row r="152" ht="22.5" customHeight="1">
      <c r="A152" s="17" t="s">
        <v>217</v>
      </c>
      <c r="B152" s="17" t="s">
        <v>621</v>
      </c>
      <c r="C152" s="18">
        <v>119.902199</v>
      </c>
      <c r="D152" s="18">
        <v>32.4</v>
      </c>
      <c r="E152" s="18">
        <v>39.13</v>
      </c>
      <c r="F152" s="17" t="s">
        <v>831</v>
      </c>
    </row>
    <row r="153" ht="22.5" customHeight="1">
      <c r="A153" s="17" t="s">
        <v>217</v>
      </c>
      <c r="B153" s="17" t="s">
        <v>622</v>
      </c>
      <c r="C153" s="18">
        <v>121.90344</v>
      </c>
      <c r="D153" s="18">
        <v>4.6</v>
      </c>
      <c r="E153" s="18">
        <v>39.13</v>
      </c>
      <c r="F153" s="17" t="s">
        <v>831</v>
      </c>
    </row>
    <row r="154" ht="22.5" customHeight="1">
      <c r="A154" s="17" t="s">
        <v>217</v>
      </c>
      <c r="B154" s="17" t="s">
        <v>623</v>
      </c>
      <c r="C154" s="18">
        <v>123.905271</v>
      </c>
      <c r="D154" s="18">
        <v>5.6</v>
      </c>
      <c r="E154" s="18">
        <v>39.13</v>
      </c>
      <c r="F154" s="17" t="s">
        <v>831</v>
      </c>
    </row>
    <row r="155" ht="22.5" customHeight="1">
      <c r="A155" s="17" t="s">
        <v>234</v>
      </c>
      <c r="B155" s="17" t="s">
        <v>624</v>
      </c>
      <c r="C155" s="18">
        <v>120.903824</v>
      </c>
      <c r="D155" s="18">
        <v>57.21</v>
      </c>
      <c r="E155" s="18">
        <v>11.0</v>
      </c>
      <c r="F155" s="17" t="s">
        <v>832</v>
      </c>
    </row>
    <row r="156" ht="22.5" customHeight="1">
      <c r="A156" s="17" t="s">
        <v>234</v>
      </c>
      <c r="B156" s="17" t="s">
        <v>625</v>
      </c>
      <c r="C156" s="18">
        <v>122.904222</v>
      </c>
      <c r="D156" s="18">
        <v>42.79</v>
      </c>
      <c r="E156" s="18">
        <v>11.0</v>
      </c>
      <c r="F156" s="17" t="s">
        <v>832</v>
      </c>
    </row>
    <row r="157" ht="22.5" customHeight="1">
      <c r="A157" s="17" t="s">
        <v>232</v>
      </c>
      <c r="B157" s="17" t="s">
        <v>626</v>
      </c>
      <c r="C157" s="18">
        <v>119.90402</v>
      </c>
      <c r="D157" s="18">
        <v>0.09</v>
      </c>
      <c r="E157" s="18">
        <v>100.0</v>
      </c>
      <c r="F157" s="17" t="s">
        <v>833</v>
      </c>
    </row>
    <row r="158" ht="22.5" customHeight="1">
      <c r="A158" s="17" t="s">
        <v>232</v>
      </c>
      <c r="B158" s="17" t="s">
        <v>627</v>
      </c>
      <c r="C158" s="18">
        <v>121.903047</v>
      </c>
      <c r="D158" s="18">
        <v>2.55</v>
      </c>
      <c r="E158" s="18">
        <v>100.0</v>
      </c>
      <c r="F158" s="17" t="s">
        <v>833</v>
      </c>
    </row>
    <row r="159" ht="22.5" customHeight="1">
      <c r="A159" s="17" t="s">
        <v>232</v>
      </c>
      <c r="B159" s="17" t="s">
        <v>628</v>
      </c>
      <c r="C159" s="18">
        <v>122.904273</v>
      </c>
      <c r="D159" s="18">
        <v>0.89</v>
      </c>
      <c r="E159" s="18">
        <v>100.0</v>
      </c>
      <c r="F159" s="17" t="s">
        <v>833</v>
      </c>
    </row>
    <row r="160" ht="22.5" customHeight="1">
      <c r="A160" s="17" t="s">
        <v>232</v>
      </c>
      <c r="B160" s="17" t="s">
        <v>629</v>
      </c>
      <c r="C160" s="18">
        <v>123.902818</v>
      </c>
      <c r="D160" s="18">
        <v>4.74</v>
      </c>
      <c r="E160" s="18">
        <v>100.0</v>
      </c>
      <c r="F160" s="17" t="s">
        <v>833</v>
      </c>
    </row>
    <row r="161" ht="22.5" customHeight="1">
      <c r="A161" s="17" t="s">
        <v>232</v>
      </c>
      <c r="B161" s="17" t="s">
        <v>630</v>
      </c>
      <c r="C161" s="18">
        <v>124.904425</v>
      </c>
      <c r="D161" s="18">
        <v>7.07</v>
      </c>
      <c r="E161" s="18">
        <v>100.0</v>
      </c>
      <c r="F161" s="17" t="s">
        <v>833</v>
      </c>
    </row>
    <row r="162" ht="22.5" customHeight="1">
      <c r="A162" s="17" t="s">
        <v>232</v>
      </c>
      <c r="B162" s="17" t="s">
        <v>631</v>
      </c>
      <c r="C162" s="18">
        <v>125.903306</v>
      </c>
      <c r="D162" s="18">
        <v>18.84</v>
      </c>
      <c r="E162" s="18">
        <v>100.0</v>
      </c>
      <c r="F162" s="17" t="s">
        <v>833</v>
      </c>
    </row>
    <row r="163" ht="22.5" customHeight="1">
      <c r="A163" s="17" t="s">
        <v>232</v>
      </c>
      <c r="B163" s="17" t="s">
        <v>632</v>
      </c>
      <c r="C163" s="18">
        <v>127.904463</v>
      </c>
      <c r="D163" s="18">
        <v>31.74</v>
      </c>
      <c r="E163" s="18">
        <v>100.0</v>
      </c>
      <c r="F163" s="17" t="s">
        <v>833</v>
      </c>
    </row>
    <row r="164" ht="22.5" customHeight="1">
      <c r="A164" s="17" t="s">
        <v>232</v>
      </c>
      <c r="B164" s="17" t="s">
        <v>633</v>
      </c>
      <c r="C164" s="18">
        <v>129.906229</v>
      </c>
      <c r="D164" s="18">
        <v>33.8</v>
      </c>
      <c r="E164" s="18">
        <v>100.0</v>
      </c>
      <c r="F164" s="17" t="s">
        <v>833</v>
      </c>
    </row>
    <row r="165" ht="22.5" customHeight="1">
      <c r="A165" s="17" t="s">
        <v>247</v>
      </c>
      <c r="B165" s="17" t="s">
        <v>634</v>
      </c>
      <c r="C165" s="18">
        <v>126.904477</v>
      </c>
      <c r="D165" s="18">
        <v>100.0</v>
      </c>
      <c r="E165" s="18">
        <v>18.0</v>
      </c>
      <c r="F165" s="17" t="s">
        <v>834</v>
      </c>
    </row>
    <row r="166" ht="22.5" customHeight="1">
      <c r="A166" s="17" t="s">
        <v>242</v>
      </c>
      <c r="B166" s="17" t="s">
        <v>635</v>
      </c>
      <c r="C166" s="18">
        <v>123.905896</v>
      </c>
      <c r="D166" s="18">
        <v>0.09</v>
      </c>
      <c r="E166" s="18">
        <v>100.0</v>
      </c>
      <c r="F166" s="17" t="s">
        <v>835</v>
      </c>
    </row>
    <row r="167" ht="22.5" customHeight="1">
      <c r="A167" s="17" t="s">
        <v>242</v>
      </c>
      <c r="B167" s="17" t="s">
        <v>636</v>
      </c>
      <c r="C167" s="18">
        <v>125.904269</v>
      </c>
      <c r="D167" s="18">
        <v>0.09</v>
      </c>
      <c r="E167" s="18">
        <v>100.0</v>
      </c>
      <c r="F167" s="17" t="s">
        <v>835</v>
      </c>
    </row>
    <row r="168" ht="22.5" customHeight="1">
      <c r="A168" s="17" t="s">
        <v>242</v>
      </c>
      <c r="B168" s="17" t="s">
        <v>637</v>
      </c>
      <c r="C168" s="18">
        <v>127.903531</v>
      </c>
      <c r="D168" s="18">
        <v>1.92</v>
      </c>
      <c r="E168" s="18">
        <v>100.0</v>
      </c>
      <c r="F168" s="17" t="s">
        <v>835</v>
      </c>
    </row>
    <row r="169" ht="22.5" customHeight="1">
      <c r="A169" s="17" t="s">
        <v>242</v>
      </c>
      <c r="B169" s="17" t="s">
        <v>638</v>
      </c>
      <c r="C169" s="18">
        <v>128.904779</v>
      </c>
      <c r="D169" s="18">
        <v>26.44</v>
      </c>
      <c r="E169" s="18">
        <v>100.0</v>
      </c>
      <c r="F169" s="17" t="s">
        <v>835</v>
      </c>
    </row>
    <row r="170" ht="22.5" customHeight="1">
      <c r="A170" s="17" t="s">
        <v>242</v>
      </c>
      <c r="B170" s="17" t="s">
        <v>639</v>
      </c>
      <c r="C170" s="18">
        <v>129.903509</v>
      </c>
      <c r="D170" s="18">
        <v>4.08</v>
      </c>
      <c r="E170" s="18">
        <v>100.0</v>
      </c>
      <c r="F170" s="17" t="s">
        <v>835</v>
      </c>
    </row>
    <row r="171" ht="22.5" customHeight="1">
      <c r="A171" s="17" t="s">
        <v>242</v>
      </c>
      <c r="B171" s="17" t="s">
        <v>640</v>
      </c>
      <c r="C171" s="18">
        <v>130.905084</v>
      </c>
      <c r="D171" s="18">
        <v>21.18</v>
      </c>
      <c r="E171" s="18">
        <v>100.0</v>
      </c>
      <c r="F171" s="17" t="s">
        <v>835</v>
      </c>
    </row>
    <row r="172" ht="22.5" customHeight="1">
      <c r="A172" s="17" t="s">
        <v>242</v>
      </c>
      <c r="B172" s="17" t="s">
        <v>641</v>
      </c>
      <c r="C172" s="18">
        <v>131.904154</v>
      </c>
      <c r="D172" s="18">
        <v>26.89</v>
      </c>
      <c r="E172" s="18">
        <v>100.0</v>
      </c>
      <c r="F172" s="17" t="s">
        <v>835</v>
      </c>
    </row>
    <row r="173" ht="22.5" customHeight="1">
      <c r="A173" s="17" t="s">
        <v>242</v>
      </c>
      <c r="B173" s="17" t="s">
        <v>642</v>
      </c>
      <c r="C173" s="18">
        <v>133.905395</v>
      </c>
      <c r="D173" s="18">
        <v>10.44</v>
      </c>
      <c r="E173" s="18">
        <v>100.0</v>
      </c>
      <c r="F173" s="17" t="s">
        <v>835</v>
      </c>
    </row>
    <row r="174" ht="22.5" customHeight="1">
      <c r="A174" s="17" t="s">
        <v>242</v>
      </c>
      <c r="B174" s="17" t="s">
        <v>643</v>
      </c>
      <c r="C174" s="18">
        <v>135.907219</v>
      </c>
      <c r="D174" s="18">
        <v>8.87</v>
      </c>
      <c r="E174" s="18">
        <v>100.0</v>
      </c>
      <c r="F174" s="17" t="s">
        <v>835</v>
      </c>
    </row>
    <row r="175" ht="22.5" customHeight="1">
      <c r="A175" s="17" t="s">
        <v>259</v>
      </c>
      <c r="B175" s="17" t="s">
        <v>644</v>
      </c>
      <c r="C175" s="18">
        <v>132.905452</v>
      </c>
      <c r="D175" s="18">
        <v>100.0</v>
      </c>
      <c r="E175" s="18">
        <v>81.72</v>
      </c>
      <c r="F175" s="17" t="s">
        <v>836</v>
      </c>
    </row>
    <row r="176" ht="22.5" customHeight="1">
      <c r="A176" s="17" t="s">
        <v>254</v>
      </c>
      <c r="B176" s="17" t="s">
        <v>645</v>
      </c>
      <c r="C176" s="18">
        <v>129.906229</v>
      </c>
      <c r="D176" s="18">
        <v>0.106</v>
      </c>
      <c r="E176" s="18">
        <v>8.0</v>
      </c>
      <c r="F176" s="17" t="s">
        <v>837</v>
      </c>
    </row>
    <row r="177" ht="22.5" customHeight="1">
      <c r="A177" s="17" t="s">
        <v>254</v>
      </c>
      <c r="B177" s="17" t="s">
        <v>646</v>
      </c>
      <c r="C177" s="18">
        <v>131.905061</v>
      </c>
      <c r="D177" s="18">
        <v>0.101</v>
      </c>
      <c r="E177" s="18">
        <v>8.0</v>
      </c>
      <c r="F177" s="17" t="s">
        <v>837</v>
      </c>
    </row>
    <row r="178" ht="22.5" customHeight="1">
      <c r="A178" s="17" t="s">
        <v>254</v>
      </c>
      <c r="B178" s="17" t="s">
        <v>647</v>
      </c>
      <c r="C178" s="18">
        <v>133.904505</v>
      </c>
      <c r="D178" s="18">
        <v>2.417</v>
      </c>
      <c r="E178" s="18">
        <v>8.0</v>
      </c>
      <c r="F178" s="17" t="s">
        <v>837</v>
      </c>
    </row>
    <row r="179" ht="22.5" customHeight="1">
      <c r="A179" s="17" t="s">
        <v>254</v>
      </c>
      <c r="B179" s="17" t="s">
        <v>648</v>
      </c>
      <c r="C179" s="18">
        <v>134.905683</v>
      </c>
      <c r="D179" s="18">
        <v>6.592</v>
      </c>
      <c r="E179" s="18">
        <v>8.0</v>
      </c>
      <c r="F179" s="17" t="s">
        <v>837</v>
      </c>
    </row>
    <row r="180" ht="22.5" customHeight="1">
      <c r="A180" s="17" t="s">
        <v>254</v>
      </c>
      <c r="B180" s="17" t="s">
        <v>649</v>
      </c>
      <c r="C180" s="18">
        <v>135.90457</v>
      </c>
      <c r="D180" s="18">
        <v>7.854</v>
      </c>
      <c r="E180" s="18">
        <v>8.0</v>
      </c>
      <c r="F180" s="17" t="s">
        <v>837</v>
      </c>
    </row>
    <row r="181" ht="22.5" customHeight="1">
      <c r="A181" s="17" t="s">
        <v>254</v>
      </c>
      <c r="B181" s="17" t="s">
        <v>650</v>
      </c>
      <c r="C181" s="18">
        <v>136.905821</v>
      </c>
      <c r="D181" s="18">
        <v>11.232</v>
      </c>
      <c r="E181" s="18">
        <v>8.0</v>
      </c>
      <c r="F181" s="17" t="s">
        <v>837</v>
      </c>
    </row>
    <row r="182" ht="22.5" customHeight="1">
      <c r="A182" s="17" t="s">
        <v>254</v>
      </c>
      <c r="B182" s="17" t="s">
        <v>651</v>
      </c>
      <c r="C182" s="18">
        <v>137.905236</v>
      </c>
      <c r="D182" s="18">
        <v>71.698</v>
      </c>
      <c r="E182" s="18">
        <v>8.0</v>
      </c>
      <c r="F182" s="17" t="s">
        <v>837</v>
      </c>
    </row>
    <row r="183" ht="22.5" customHeight="1">
      <c r="A183" s="17" t="s">
        <v>271</v>
      </c>
      <c r="B183" s="17" t="s">
        <v>652</v>
      </c>
      <c r="C183" s="18">
        <v>137.907114</v>
      </c>
      <c r="D183" s="18">
        <v>0.09</v>
      </c>
      <c r="E183" s="18">
        <v>2.68</v>
      </c>
      <c r="F183" s="17" t="s">
        <v>838</v>
      </c>
    </row>
    <row r="184" ht="22.5" customHeight="1">
      <c r="A184" s="17" t="s">
        <v>271</v>
      </c>
      <c r="B184" s="17" t="s">
        <v>653</v>
      </c>
      <c r="C184" s="18">
        <v>138.906355</v>
      </c>
      <c r="D184" s="18">
        <v>99.91</v>
      </c>
      <c r="E184" s="18">
        <v>2.68</v>
      </c>
      <c r="F184" s="17" t="s">
        <v>838</v>
      </c>
    </row>
    <row r="185" ht="22.5" customHeight="1">
      <c r="A185" s="17" t="s">
        <v>265</v>
      </c>
      <c r="B185" s="17" t="s">
        <v>654</v>
      </c>
      <c r="C185" s="18">
        <v>135.90714</v>
      </c>
      <c r="D185" s="18">
        <v>0.19</v>
      </c>
      <c r="E185" s="18">
        <v>3.61</v>
      </c>
      <c r="F185" s="17" t="s">
        <v>839</v>
      </c>
    </row>
    <row r="186" ht="22.5" customHeight="1">
      <c r="A186" s="17" t="s">
        <v>265</v>
      </c>
      <c r="B186" s="17" t="s">
        <v>655</v>
      </c>
      <c r="C186" s="18">
        <v>137.905996</v>
      </c>
      <c r="D186" s="18">
        <v>0.25</v>
      </c>
      <c r="E186" s="18">
        <v>3.61</v>
      </c>
      <c r="F186" s="17" t="s">
        <v>839</v>
      </c>
    </row>
    <row r="187" ht="22.5" customHeight="1">
      <c r="A187" s="17" t="s">
        <v>265</v>
      </c>
      <c r="B187" s="17" t="s">
        <v>656</v>
      </c>
      <c r="C187" s="18">
        <v>139.905442</v>
      </c>
      <c r="D187" s="18">
        <v>88.48</v>
      </c>
      <c r="E187" s="18">
        <v>3.61</v>
      </c>
      <c r="F187" s="17" t="s">
        <v>839</v>
      </c>
    </row>
    <row r="188" ht="22.5" customHeight="1">
      <c r="A188" s="17" t="s">
        <v>265</v>
      </c>
      <c r="B188" s="17" t="s">
        <v>657</v>
      </c>
      <c r="C188" s="18">
        <v>141.909249</v>
      </c>
      <c r="D188" s="18">
        <v>11.08</v>
      </c>
      <c r="E188" s="18">
        <v>3.61</v>
      </c>
      <c r="F188" s="17" t="s">
        <v>839</v>
      </c>
    </row>
    <row r="189" ht="22.5" customHeight="1">
      <c r="A189" s="17" t="s">
        <v>275</v>
      </c>
      <c r="B189" s="17" t="s">
        <v>658</v>
      </c>
      <c r="C189" s="18">
        <v>140.907657</v>
      </c>
      <c r="D189" s="18">
        <v>100.0</v>
      </c>
      <c r="E189" s="18">
        <v>95.02</v>
      </c>
      <c r="F189" s="17" t="s">
        <v>840</v>
      </c>
    </row>
    <row r="190" ht="22.5" customHeight="1">
      <c r="A190" s="17" t="s">
        <v>277</v>
      </c>
      <c r="B190" s="17" t="s">
        <v>659</v>
      </c>
      <c r="C190" s="18">
        <v>141.907731</v>
      </c>
      <c r="D190" s="18">
        <v>27.13</v>
      </c>
      <c r="E190" s="18">
        <v>87.86</v>
      </c>
      <c r="F190" s="17" t="s">
        <v>841</v>
      </c>
    </row>
    <row r="191" ht="22.5" customHeight="1">
      <c r="A191" s="17" t="s">
        <v>277</v>
      </c>
      <c r="B191" s="17" t="s">
        <v>660</v>
      </c>
      <c r="C191" s="18">
        <v>142.909823</v>
      </c>
      <c r="D191" s="18">
        <v>12.18</v>
      </c>
      <c r="E191" s="18">
        <v>87.86</v>
      </c>
      <c r="F191" s="17" t="s">
        <v>841</v>
      </c>
    </row>
    <row r="192" ht="22.5" customHeight="1">
      <c r="A192" s="17" t="s">
        <v>277</v>
      </c>
      <c r="B192" s="17" t="s">
        <v>661</v>
      </c>
      <c r="C192" s="18">
        <v>143.910096</v>
      </c>
      <c r="D192" s="18">
        <v>23.8</v>
      </c>
      <c r="E192" s="18">
        <v>87.86</v>
      </c>
      <c r="F192" s="17" t="s">
        <v>841</v>
      </c>
    </row>
    <row r="193" ht="22.5" customHeight="1">
      <c r="A193" s="17" t="s">
        <v>277</v>
      </c>
      <c r="B193" s="17" t="s">
        <v>662</v>
      </c>
      <c r="C193" s="18">
        <v>144.912582</v>
      </c>
      <c r="D193" s="18">
        <v>8.3</v>
      </c>
      <c r="E193" s="18">
        <v>87.86</v>
      </c>
      <c r="F193" s="17" t="s">
        <v>841</v>
      </c>
    </row>
    <row r="194" ht="22.5" customHeight="1">
      <c r="A194" s="17" t="s">
        <v>277</v>
      </c>
      <c r="B194" s="17" t="s">
        <v>663</v>
      </c>
      <c r="C194" s="18">
        <v>145.913126</v>
      </c>
      <c r="D194" s="18">
        <v>17.19</v>
      </c>
      <c r="E194" s="18">
        <v>87.86</v>
      </c>
      <c r="F194" s="17" t="s">
        <v>841</v>
      </c>
    </row>
    <row r="195" ht="22.5" customHeight="1">
      <c r="A195" s="17" t="s">
        <v>277</v>
      </c>
      <c r="B195" s="17" t="s">
        <v>664</v>
      </c>
      <c r="C195" s="18">
        <v>147.916901</v>
      </c>
      <c r="D195" s="18">
        <v>5.76</v>
      </c>
      <c r="E195" s="18">
        <v>87.86</v>
      </c>
      <c r="F195" s="17" t="s">
        <v>841</v>
      </c>
    </row>
    <row r="196" ht="22.5" customHeight="1">
      <c r="A196" s="17" t="s">
        <v>277</v>
      </c>
      <c r="B196" s="17" t="s">
        <v>665</v>
      </c>
      <c r="C196" s="18">
        <v>149.9209</v>
      </c>
      <c r="D196" s="18">
        <v>5.64</v>
      </c>
      <c r="E196" s="18">
        <v>87.86</v>
      </c>
      <c r="F196" s="17" t="s">
        <v>841</v>
      </c>
    </row>
    <row r="197" ht="22.5" customHeight="1">
      <c r="A197" s="17" t="s">
        <v>282</v>
      </c>
      <c r="B197" s="17" t="s">
        <v>666</v>
      </c>
      <c r="C197" s="18">
        <v>143.912009</v>
      </c>
      <c r="D197" s="18">
        <v>3.1</v>
      </c>
      <c r="E197" s="18">
        <v>9.1</v>
      </c>
      <c r="F197" s="17" t="s">
        <v>842</v>
      </c>
    </row>
    <row r="198" ht="22.5" customHeight="1">
      <c r="A198" s="17" t="s">
        <v>282</v>
      </c>
      <c r="B198" s="17" t="s">
        <v>667</v>
      </c>
      <c r="C198" s="18">
        <v>146.914907</v>
      </c>
      <c r="D198" s="18">
        <v>15.0</v>
      </c>
      <c r="E198" s="18">
        <v>9.1</v>
      </c>
      <c r="F198" s="17" t="s">
        <v>842</v>
      </c>
    </row>
    <row r="199" ht="22.5" customHeight="1">
      <c r="A199" s="17" t="s">
        <v>282</v>
      </c>
      <c r="B199" s="17" t="s">
        <v>668</v>
      </c>
      <c r="C199" s="18">
        <v>147.914832</v>
      </c>
      <c r="D199" s="18">
        <v>11.3</v>
      </c>
      <c r="E199" s="18">
        <v>9.1</v>
      </c>
      <c r="F199" s="17" t="s">
        <v>842</v>
      </c>
    </row>
    <row r="200" ht="22.5" customHeight="1">
      <c r="A200" s="17" t="s">
        <v>282</v>
      </c>
      <c r="B200" s="17" t="s">
        <v>669</v>
      </c>
      <c r="C200" s="18">
        <v>148.917193</v>
      </c>
      <c r="D200" s="18">
        <v>13.8</v>
      </c>
      <c r="E200" s="18">
        <v>9.1</v>
      </c>
      <c r="F200" s="17" t="s">
        <v>842</v>
      </c>
    </row>
    <row r="201" ht="22.5" customHeight="1">
      <c r="A201" s="17" t="s">
        <v>282</v>
      </c>
      <c r="B201" s="17" t="s">
        <v>670</v>
      </c>
      <c r="C201" s="18">
        <v>149.917285</v>
      </c>
      <c r="D201" s="18">
        <v>7.4</v>
      </c>
      <c r="E201" s="18">
        <v>9.1</v>
      </c>
      <c r="F201" s="17" t="s">
        <v>842</v>
      </c>
    </row>
    <row r="202" ht="22.5" customHeight="1">
      <c r="A202" s="17" t="s">
        <v>282</v>
      </c>
      <c r="B202" s="17" t="s">
        <v>671</v>
      </c>
      <c r="C202" s="18">
        <v>151.919741</v>
      </c>
      <c r="D202" s="18">
        <v>26.7</v>
      </c>
      <c r="E202" s="18">
        <v>9.1</v>
      </c>
      <c r="F202" s="17" t="s">
        <v>842</v>
      </c>
    </row>
    <row r="203" ht="22.5" customHeight="1">
      <c r="A203" s="17" t="s">
        <v>282</v>
      </c>
      <c r="B203" s="17" t="s">
        <v>672</v>
      </c>
      <c r="C203" s="18">
        <v>153.922218</v>
      </c>
      <c r="D203" s="18">
        <v>22.7</v>
      </c>
      <c r="E203" s="18">
        <v>9.1</v>
      </c>
      <c r="F203" s="17" t="s">
        <v>842</v>
      </c>
    </row>
    <row r="204" ht="22.5" customHeight="1">
      <c r="A204" s="17" t="s">
        <v>292</v>
      </c>
      <c r="B204" s="17" t="s">
        <v>673</v>
      </c>
      <c r="C204" s="18">
        <v>150.91986</v>
      </c>
      <c r="D204" s="18">
        <v>47.8</v>
      </c>
      <c r="E204" s="18">
        <v>19.66</v>
      </c>
      <c r="F204" s="17" t="s">
        <v>843</v>
      </c>
    </row>
    <row r="205" ht="22.5" customHeight="1">
      <c r="A205" s="17" t="s">
        <v>292</v>
      </c>
      <c r="B205" s="17" t="s">
        <v>674</v>
      </c>
      <c r="C205" s="18">
        <v>152.921243</v>
      </c>
      <c r="D205" s="18">
        <v>52.2</v>
      </c>
      <c r="E205" s="18">
        <v>19.66</v>
      </c>
      <c r="F205" s="17" t="s">
        <v>843</v>
      </c>
    </row>
    <row r="206" ht="22.5" customHeight="1">
      <c r="A206" s="17" t="s">
        <v>295</v>
      </c>
      <c r="B206" s="17" t="s">
        <v>675</v>
      </c>
      <c r="C206" s="18">
        <v>151.919803</v>
      </c>
      <c r="D206" s="18">
        <v>0.2</v>
      </c>
      <c r="E206" s="18">
        <v>20.09</v>
      </c>
      <c r="F206" s="17" t="s">
        <v>844</v>
      </c>
    </row>
    <row r="207" ht="22.5" customHeight="1">
      <c r="A207" s="17" t="s">
        <v>295</v>
      </c>
      <c r="B207" s="17" t="s">
        <v>676</v>
      </c>
      <c r="C207" s="18">
        <v>153.920876</v>
      </c>
      <c r="D207" s="18">
        <v>2.18</v>
      </c>
      <c r="E207" s="18">
        <v>20.09</v>
      </c>
      <c r="F207" s="17" t="s">
        <v>844</v>
      </c>
    </row>
    <row r="208" ht="22.5" customHeight="1">
      <c r="A208" s="17" t="s">
        <v>295</v>
      </c>
      <c r="B208" s="17" t="s">
        <v>677</v>
      </c>
      <c r="C208" s="18">
        <v>154.822629</v>
      </c>
      <c r="D208" s="18">
        <v>14.8</v>
      </c>
      <c r="E208" s="18">
        <v>20.09</v>
      </c>
      <c r="F208" s="17" t="s">
        <v>844</v>
      </c>
    </row>
    <row r="209" ht="22.5" customHeight="1">
      <c r="A209" s="17" t="s">
        <v>295</v>
      </c>
      <c r="B209" s="17" t="s">
        <v>678</v>
      </c>
      <c r="C209" s="18">
        <v>155.92213</v>
      </c>
      <c r="D209" s="18">
        <v>20.47</v>
      </c>
      <c r="E209" s="18">
        <v>20.09</v>
      </c>
      <c r="F209" s="17" t="s">
        <v>844</v>
      </c>
    </row>
    <row r="210" ht="22.5" customHeight="1">
      <c r="A210" s="17" t="s">
        <v>295</v>
      </c>
      <c r="B210" s="17" t="s">
        <v>679</v>
      </c>
      <c r="C210" s="18">
        <v>156.923967</v>
      </c>
      <c r="D210" s="18">
        <v>15.65</v>
      </c>
      <c r="E210" s="18">
        <v>20.09</v>
      </c>
      <c r="F210" s="17" t="s">
        <v>844</v>
      </c>
    </row>
    <row r="211" ht="22.5" customHeight="1">
      <c r="A211" s="17" t="s">
        <v>295</v>
      </c>
      <c r="B211" s="17" t="s">
        <v>680</v>
      </c>
      <c r="C211" s="18">
        <v>157.924111</v>
      </c>
      <c r="D211" s="18">
        <v>24.84</v>
      </c>
      <c r="E211" s="18">
        <v>20.09</v>
      </c>
      <c r="F211" s="17" t="s">
        <v>844</v>
      </c>
    </row>
    <row r="212" ht="22.5" customHeight="1">
      <c r="A212" s="17" t="s">
        <v>295</v>
      </c>
      <c r="B212" s="17" t="s">
        <v>681</v>
      </c>
      <c r="C212" s="18">
        <v>159.927061</v>
      </c>
      <c r="D212" s="18">
        <v>21.86</v>
      </c>
      <c r="E212" s="18">
        <v>20.09</v>
      </c>
      <c r="F212" s="17" t="s">
        <v>844</v>
      </c>
    </row>
    <row r="213" ht="22.5" customHeight="1">
      <c r="A213" s="17" t="s">
        <v>307</v>
      </c>
      <c r="B213" s="17" t="s">
        <v>682</v>
      </c>
      <c r="C213" s="18">
        <v>158.92535</v>
      </c>
      <c r="D213" s="18">
        <v>100.0</v>
      </c>
      <c r="E213" s="18">
        <v>1006.28</v>
      </c>
      <c r="F213" s="17" t="s">
        <v>845</v>
      </c>
    </row>
    <row r="214" ht="22.5" customHeight="1">
      <c r="A214" s="17" t="s">
        <v>302</v>
      </c>
      <c r="B214" s="17" t="s">
        <v>683</v>
      </c>
      <c r="C214" s="18">
        <v>155.924287</v>
      </c>
      <c r="D214" s="18">
        <v>0.06</v>
      </c>
      <c r="E214" s="18">
        <v>235.53</v>
      </c>
      <c r="F214" s="17" t="s">
        <v>846</v>
      </c>
    </row>
    <row r="215" ht="22.5" customHeight="1">
      <c r="A215" s="17" t="s">
        <v>302</v>
      </c>
      <c r="B215" s="17" t="s">
        <v>684</v>
      </c>
      <c r="C215" s="18">
        <v>157.924412</v>
      </c>
      <c r="D215" s="18">
        <v>0.1</v>
      </c>
      <c r="E215" s="18">
        <v>235.53</v>
      </c>
      <c r="F215" s="17" t="s">
        <v>846</v>
      </c>
    </row>
    <row r="216" ht="22.5" customHeight="1">
      <c r="A216" s="17" t="s">
        <v>302</v>
      </c>
      <c r="B216" s="17" t="s">
        <v>685</v>
      </c>
      <c r="C216" s="18">
        <v>159.925203</v>
      </c>
      <c r="D216" s="18">
        <v>2.34</v>
      </c>
      <c r="E216" s="18">
        <v>235.53</v>
      </c>
      <c r="F216" s="17" t="s">
        <v>846</v>
      </c>
    </row>
    <row r="217" ht="22.5" customHeight="1">
      <c r="A217" s="17" t="s">
        <v>302</v>
      </c>
      <c r="B217" s="17" t="s">
        <v>686</v>
      </c>
      <c r="C217" s="18">
        <v>160.926939</v>
      </c>
      <c r="D217" s="18">
        <v>18.9</v>
      </c>
      <c r="E217" s="18">
        <v>235.53</v>
      </c>
      <c r="F217" s="17" t="s">
        <v>846</v>
      </c>
    </row>
    <row r="218" ht="22.5" customHeight="1">
      <c r="A218" s="17" t="s">
        <v>302</v>
      </c>
      <c r="B218" s="17" t="s">
        <v>687</v>
      </c>
      <c r="C218" s="18">
        <v>161.926805</v>
      </c>
      <c r="D218" s="18">
        <v>25.5</v>
      </c>
      <c r="E218" s="18">
        <v>235.53</v>
      </c>
      <c r="F218" s="17" t="s">
        <v>846</v>
      </c>
    </row>
    <row r="219" ht="22.5" customHeight="1">
      <c r="A219" s="17" t="s">
        <v>302</v>
      </c>
      <c r="B219" s="17" t="s">
        <v>688</v>
      </c>
      <c r="C219" s="18">
        <v>162.928737</v>
      </c>
      <c r="D219" s="18">
        <v>24.9</v>
      </c>
      <c r="E219" s="18">
        <v>235.53</v>
      </c>
      <c r="F219" s="17" t="s">
        <v>846</v>
      </c>
    </row>
    <row r="220" ht="22.5" customHeight="1">
      <c r="A220" s="17" t="s">
        <v>302</v>
      </c>
      <c r="B220" s="17" t="s">
        <v>689</v>
      </c>
      <c r="C220" s="18">
        <v>163.929183</v>
      </c>
      <c r="D220" s="18">
        <v>28.2</v>
      </c>
      <c r="E220" s="18">
        <v>235.53</v>
      </c>
      <c r="F220" s="17" t="s">
        <v>846</v>
      </c>
    </row>
    <row r="221" ht="22.5" customHeight="1">
      <c r="A221" s="17" t="s">
        <v>318</v>
      </c>
      <c r="B221" s="17" t="s">
        <v>690</v>
      </c>
      <c r="C221" s="18">
        <v>164.930332</v>
      </c>
      <c r="D221" s="18">
        <v>100.0</v>
      </c>
      <c r="E221" s="18">
        <v>62.25</v>
      </c>
      <c r="F221" s="17" t="s">
        <v>847</v>
      </c>
    </row>
    <row r="222" ht="22.5" customHeight="1">
      <c r="A222" s="17" t="s">
        <v>313</v>
      </c>
      <c r="B222" s="17" t="s">
        <v>691</v>
      </c>
      <c r="C222" s="18">
        <v>161.928787</v>
      </c>
      <c r="D222" s="18">
        <v>0.14</v>
      </c>
      <c r="E222" s="18">
        <v>39.63</v>
      </c>
      <c r="F222" s="17" t="s">
        <v>848</v>
      </c>
    </row>
    <row r="223" ht="22.5" customHeight="1">
      <c r="A223" s="17" t="s">
        <v>313</v>
      </c>
      <c r="B223" s="17" t="s">
        <v>692</v>
      </c>
      <c r="C223" s="18">
        <v>163.929211</v>
      </c>
      <c r="D223" s="18">
        <v>1.61</v>
      </c>
      <c r="E223" s="18">
        <v>39.63</v>
      </c>
      <c r="F223" s="17" t="s">
        <v>848</v>
      </c>
    </row>
    <row r="224" ht="22.5" customHeight="1">
      <c r="A224" s="17" t="s">
        <v>313</v>
      </c>
      <c r="B224" s="17" t="s">
        <v>693</v>
      </c>
      <c r="C224" s="18">
        <v>165.930305</v>
      </c>
      <c r="D224" s="18">
        <v>33.6</v>
      </c>
      <c r="E224" s="18">
        <v>39.63</v>
      </c>
      <c r="F224" s="17" t="s">
        <v>848</v>
      </c>
    </row>
    <row r="225" ht="22.5" customHeight="1">
      <c r="A225" s="17" t="s">
        <v>313</v>
      </c>
      <c r="B225" s="17" t="s">
        <v>694</v>
      </c>
      <c r="C225" s="18">
        <v>166.932061</v>
      </c>
      <c r="D225" s="18">
        <v>22.95</v>
      </c>
      <c r="E225" s="18">
        <v>39.63</v>
      </c>
      <c r="F225" s="17" t="s">
        <v>848</v>
      </c>
    </row>
    <row r="226" ht="22.5" customHeight="1">
      <c r="A226" s="17" t="s">
        <v>313</v>
      </c>
      <c r="B226" s="17" t="s">
        <v>695</v>
      </c>
      <c r="C226" s="18">
        <v>167.932383</v>
      </c>
      <c r="D226" s="18">
        <v>26.8</v>
      </c>
      <c r="E226" s="18">
        <v>39.63</v>
      </c>
      <c r="F226" s="17" t="s">
        <v>848</v>
      </c>
    </row>
    <row r="227" ht="22.5" customHeight="1">
      <c r="A227" s="17" t="s">
        <v>313</v>
      </c>
      <c r="B227" s="17" t="s">
        <v>696</v>
      </c>
      <c r="C227" s="18">
        <v>169.935476</v>
      </c>
      <c r="D227" s="18">
        <v>14.9</v>
      </c>
      <c r="E227" s="18">
        <v>39.63</v>
      </c>
      <c r="F227" s="17" t="s">
        <v>848</v>
      </c>
    </row>
    <row r="228" ht="22.5" customHeight="1">
      <c r="A228" s="17" t="s">
        <v>325</v>
      </c>
      <c r="B228" s="17" t="s">
        <v>697</v>
      </c>
      <c r="C228" s="18">
        <v>168.934225</v>
      </c>
      <c r="D228" s="18">
        <v>100.0</v>
      </c>
      <c r="E228" s="18">
        <v>6200.0</v>
      </c>
      <c r="F228" s="17" t="s">
        <v>849</v>
      </c>
    </row>
    <row r="229" ht="22.5" customHeight="1">
      <c r="A229" s="17" t="s">
        <v>323</v>
      </c>
      <c r="B229" s="17" t="s">
        <v>698</v>
      </c>
      <c r="C229" s="18">
        <v>167.933908</v>
      </c>
      <c r="D229" s="18">
        <v>0.13</v>
      </c>
      <c r="E229" s="18">
        <v>12.29</v>
      </c>
      <c r="F229" s="17" t="s">
        <v>850</v>
      </c>
    </row>
    <row r="230" ht="22.5" customHeight="1">
      <c r="A230" s="17" t="s">
        <v>323</v>
      </c>
      <c r="B230" s="17" t="s">
        <v>699</v>
      </c>
      <c r="C230" s="18">
        <v>169.934774</v>
      </c>
      <c r="D230" s="18">
        <v>3.05</v>
      </c>
      <c r="E230" s="18">
        <v>12.29</v>
      </c>
      <c r="F230" s="17" t="s">
        <v>850</v>
      </c>
    </row>
    <row r="231" ht="22.5" customHeight="1">
      <c r="A231" s="17" t="s">
        <v>323</v>
      </c>
      <c r="B231" s="17" t="s">
        <v>700</v>
      </c>
      <c r="C231" s="18">
        <v>170.936338</v>
      </c>
      <c r="D231" s="18">
        <v>14.3</v>
      </c>
      <c r="E231" s="18">
        <v>12.29</v>
      </c>
      <c r="F231" s="17" t="s">
        <v>850</v>
      </c>
    </row>
    <row r="232" ht="22.5" customHeight="1">
      <c r="A232" s="17" t="s">
        <v>323</v>
      </c>
      <c r="B232" s="17" t="s">
        <v>701</v>
      </c>
      <c r="C232" s="18">
        <v>171.936393</v>
      </c>
      <c r="D232" s="18">
        <v>21.9</v>
      </c>
      <c r="E232" s="18">
        <v>12.29</v>
      </c>
      <c r="F232" s="17" t="s">
        <v>850</v>
      </c>
    </row>
    <row r="233" ht="22.5" customHeight="1">
      <c r="A233" s="17" t="s">
        <v>323</v>
      </c>
      <c r="B233" s="17" t="s">
        <v>702</v>
      </c>
      <c r="C233" s="18">
        <v>172.938222</v>
      </c>
      <c r="D233" s="18">
        <v>16.12</v>
      </c>
      <c r="E233" s="18">
        <v>12.29</v>
      </c>
      <c r="F233" s="17" t="s">
        <v>850</v>
      </c>
    </row>
    <row r="234" ht="22.5" customHeight="1">
      <c r="A234" s="17" t="s">
        <v>323</v>
      </c>
      <c r="B234" s="17" t="s">
        <v>703</v>
      </c>
      <c r="C234" s="18">
        <v>173.938873</v>
      </c>
      <c r="D234" s="18">
        <v>31.8</v>
      </c>
      <c r="E234" s="18">
        <v>12.29</v>
      </c>
      <c r="F234" s="17" t="s">
        <v>850</v>
      </c>
    </row>
    <row r="235" ht="22.5" customHeight="1">
      <c r="A235" s="17" t="s">
        <v>323</v>
      </c>
      <c r="B235" s="17" t="s">
        <v>704</v>
      </c>
      <c r="C235" s="18">
        <v>175.942576</v>
      </c>
      <c r="D235" s="18">
        <v>12.7</v>
      </c>
      <c r="E235" s="18">
        <v>12.29</v>
      </c>
      <c r="F235" s="17" t="s">
        <v>850</v>
      </c>
    </row>
    <row r="236" ht="22.5" customHeight="1">
      <c r="A236" s="17" t="s">
        <v>335</v>
      </c>
      <c r="B236" s="17" t="s">
        <v>705</v>
      </c>
      <c r="C236" s="18">
        <v>174.940785</v>
      </c>
      <c r="D236" s="18">
        <v>97.41</v>
      </c>
      <c r="E236" s="18">
        <v>632.86</v>
      </c>
      <c r="F236" s="17" t="s">
        <v>851</v>
      </c>
    </row>
    <row r="237" ht="22.5" customHeight="1">
      <c r="A237" s="17" t="s">
        <v>335</v>
      </c>
      <c r="B237" s="17" t="s">
        <v>706</v>
      </c>
      <c r="C237" s="18">
        <v>175.942694</v>
      </c>
      <c r="D237" s="18">
        <v>2.59</v>
      </c>
      <c r="E237" s="18">
        <v>900.0</v>
      </c>
      <c r="F237" s="17" t="s">
        <v>852</v>
      </c>
    </row>
    <row r="238" ht="22.5" customHeight="1">
      <c r="A238" s="17" t="s">
        <v>333</v>
      </c>
      <c r="B238" s="17" t="s">
        <v>707</v>
      </c>
      <c r="C238" s="18">
        <v>173.940065</v>
      </c>
      <c r="D238" s="18">
        <v>0.16</v>
      </c>
      <c r="E238" s="18">
        <v>850.0</v>
      </c>
      <c r="F238" s="17" t="s">
        <v>853</v>
      </c>
    </row>
    <row r="239" ht="22.5" customHeight="1">
      <c r="A239" s="17" t="s">
        <v>333</v>
      </c>
      <c r="B239" s="17" t="s">
        <v>708</v>
      </c>
      <c r="C239" s="18">
        <v>175.94142</v>
      </c>
      <c r="D239" s="18">
        <v>5.2</v>
      </c>
      <c r="E239" s="18">
        <v>850.0</v>
      </c>
      <c r="F239" s="17" t="s">
        <v>853</v>
      </c>
    </row>
    <row r="240" ht="22.5" customHeight="1">
      <c r="A240" s="17" t="s">
        <v>333</v>
      </c>
      <c r="B240" s="17" t="s">
        <v>709</v>
      </c>
      <c r="C240" s="18">
        <v>176.943233</v>
      </c>
      <c r="D240" s="18">
        <v>18.6</v>
      </c>
      <c r="E240" s="18">
        <v>850.0</v>
      </c>
      <c r="F240" s="17" t="s">
        <v>853</v>
      </c>
    </row>
    <row r="241" ht="22.5" customHeight="1">
      <c r="A241" s="17" t="s">
        <v>333</v>
      </c>
      <c r="B241" s="17" t="s">
        <v>710</v>
      </c>
      <c r="C241" s="18">
        <v>177.94371</v>
      </c>
      <c r="D241" s="18">
        <v>27.1</v>
      </c>
      <c r="E241" s="18">
        <v>850.0</v>
      </c>
      <c r="F241" s="17" t="s">
        <v>853</v>
      </c>
    </row>
    <row r="242" ht="22.5" customHeight="1">
      <c r="A242" s="17" t="s">
        <v>333</v>
      </c>
      <c r="B242" s="17" t="s">
        <v>711</v>
      </c>
      <c r="C242" s="18">
        <v>178.945827</v>
      </c>
      <c r="D242" s="18">
        <v>13.74</v>
      </c>
      <c r="E242" s="18">
        <v>850.0</v>
      </c>
      <c r="F242" s="17" t="s">
        <v>853</v>
      </c>
    </row>
    <row r="243" ht="22.5" customHeight="1">
      <c r="A243" s="17" t="s">
        <v>333</v>
      </c>
      <c r="B243" s="17" t="s">
        <v>712</v>
      </c>
      <c r="C243" s="18">
        <v>179.946561</v>
      </c>
      <c r="D243" s="18">
        <v>35.2</v>
      </c>
      <c r="E243" s="18">
        <v>850.0</v>
      </c>
      <c r="F243" s="17" t="s">
        <v>853</v>
      </c>
    </row>
    <row r="244" ht="22.5" customHeight="1">
      <c r="A244" s="17" t="s">
        <v>346</v>
      </c>
      <c r="B244" s="17" t="s">
        <v>713</v>
      </c>
      <c r="C244" s="18">
        <v>179.947489</v>
      </c>
      <c r="D244" s="18">
        <v>0.012</v>
      </c>
      <c r="E244" s="18">
        <v>275.0</v>
      </c>
      <c r="F244" s="17" t="s">
        <v>854</v>
      </c>
    </row>
    <row r="245" ht="22.5" customHeight="1">
      <c r="A245" s="17" t="s">
        <v>346</v>
      </c>
      <c r="B245" s="17" t="s">
        <v>714</v>
      </c>
      <c r="C245" s="18">
        <v>180.948014</v>
      </c>
      <c r="D245" s="18">
        <v>99.988</v>
      </c>
      <c r="E245" s="18">
        <v>275.0</v>
      </c>
      <c r="F245" s="17" t="s">
        <v>854</v>
      </c>
    </row>
    <row r="246" ht="22.5" customHeight="1">
      <c r="A246" s="17" t="s">
        <v>344</v>
      </c>
      <c r="B246" s="17" t="s">
        <v>715</v>
      </c>
      <c r="C246" s="18">
        <v>179.946727</v>
      </c>
      <c r="D246" s="18">
        <v>0.13</v>
      </c>
      <c r="E246" s="18">
        <v>42.0</v>
      </c>
      <c r="F246" s="17" t="s">
        <v>825</v>
      </c>
    </row>
    <row r="247" ht="22.5" customHeight="1">
      <c r="A247" s="17" t="s">
        <v>344</v>
      </c>
      <c r="B247" s="17" t="s">
        <v>716</v>
      </c>
      <c r="C247" s="18">
        <v>181.948225</v>
      </c>
      <c r="D247" s="18">
        <v>26.3</v>
      </c>
      <c r="E247" s="18">
        <v>42.0</v>
      </c>
      <c r="F247" s="17" t="s">
        <v>825</v>
      </c>
    </row>
    <row r="248" ht="22.5" customHeight="1">
      <c r="A248" s="17" t="s">
        <v>344</v>
      </c>
      <c r="B248" s="17" t="s">
        <v>717</v>
      </c>
      <c r="C248" s="18">
        <v>182.950245</v>
      </c>
      <c r="D248" s="18">
        <v>14.3</v>
      </c>
      <c r="E248" s="18">
        <v>42.0</v>
      </c>
      <c r="F248" s="17" t="s">
        <v>825</v>
      </c>
    </row>
    <row r="249" ht="22.5" customHeight="1">
      <c r="A249" s="17" t="s">
        <v>344</v>
      </c>
      <c r="B249" s="17" t="s">
        <v>718</v>
      </c>
      <c r="C249" s="18">
        <v>183.950953</v>
      </c>
      <c r="D249" s="18">
        <v>30.67</v>
      </c>
      <c r="E249" s="18">
        <v>42.0</v>
      </c>
      <c r="F249" s="17" t="s">
        <v>825</v>
      </c>
    </row>
    <row r="250" ht="22.5" customHeight="1">
      <c r="A250" s="17" t="s">
        <v>344</v>
      </c>
      <c r="B250" s="17" t="s">
        <v>719</v>
      </c>
      <c r="C250" s="18">
        <v>185.954377</v>
      </c>
      <c r="D250" s="18">
        <v>28.6</v>
      </c>
      <c r="E250" s="18">
        <v>42.0</v>
      </c>
      <c r="F250" s="17" t="s">
        <v>825</v>
      </c>
    </row>
    <row r="251" ht="22.5" customHeight="1">
      <c r="A251" s="17" t="s">
        <v>354</v>
      </c>
      <c r="B251" s="17" t="s">
        <v>720</v>
      </c>
      <c r="C251" s="18">
        <v>184.952977</v>
      </c>
      <c r="D251" s="18">
        <v>37.4</v>
      </c>
      <c r="E251" s="18">
        <v>2100.0</v>
      </c>
      <c r="F251" s="17" t="s">
        <v>855</v>
      </c>
    </row>
    <row r="252" ht="22.5" customHeight="1">
      <c r="A252" s="17" t="s">
        <v>354</v>
      </c>
      <c r="B252" s="17" t="s">
        <v>721</v>
      </c>
      <c r="C252" s="18">
        <v>186.955765</v>
      </c>
      <c r="D252" s="18">
        <v>62.6</v>
      </c>
      <c r="E252" s="18">
        <v>2100.0</v>
      </c>
      <c r="F252" s="17" t="s">
        <v>855</v>
      </c>
    </row>
    <row r="253" ht="22.5" customHeight="1">
      <c r="A253" s="17" t="s">
        <v>352</v>
      </c>
      <c r="B253" s="17" t="s">
        <v>722</v>
      </c>
      <c r="C253" s="18">
        <v>183.952514</v>
      </c>
      <c r="D253" s="18">
        <v>0.02</v>
      </c>
      <c r="E253" s="18">
        <v>12000.0</v>
      </c>
      <c r="F253" s="17" t="s">
        <v>826</v>
      </c>
    </row>
    <row r="254" ht="22.5" customHeight="1">
      <c r="A254" s="17" t="s">
        <v>352</v>
      </c>
      <c r="B254" s="17" t="s">
        <v>723</v>
      </c>
      <c r="C254" s="18">
        <v>185.953852</v>
      </c>
      <c r="D254" s="18">
        <v>1.58</v>
      </c>
      <c r="E254" s="18">
        <v>12000.0</v>
      </c>
      <c r="F254" s="17" t="s">
        <v>826</v>
      </c>
    </row>
    <row r="255" ht="22.5" customHeight="1">
      <c r="A255" s="17" t="s">
        <v>352</v>
      </c>
      <c r="B255" s="17" t="s">
        <v>724</v>
      </c>
      <c r="C255" s="18">
        <v>186.955762</v>
      </c>
      <c r="D255" s="18">
        <v>1.6</v>
      </c>
      <c r="E255" s="18">
        <v>12000.0</v>
      </c>
      <c r="F255" s="17" t="s">
        <v>826</v>
      </c>
    </row>
    <row r="256" ht="22.5" customHeight="1">
      <c r="A256" s="17" t="s">
        <v>352</v>
      </c>
      <c r="B256" s="17" t="s">
        <v>725</v>
      </c>
      <c r="C256" s="18">
        <v>187.95585</v>
      </c>
      <c r="D256" s="18">
        <v>13.3</v>
      </c>
      <c r="E256" s="18">
        <v>12000.0</v>
      </c>
      <c r="F256" s="17" t="s">
        <v>826</v>
      </c>
    </row>
    <row r="257" ht="22.5" customHeight="1">
      <c r="A257" s="17" t="s">
        <v>352</v>
      </c>
      <c r="B257" s="17" t="s">
        <v>726</v>
      </c>
      <c r="C257" s="18">
        <v>188.958156</v>
      </c>
      <c r="D257" s="18">
        <v>16.1</v>
      </c>
      <c r="E257" s="18">
        <v>12000.0</v>
      </c>
      <c r="F257" s="17" t="s">
        <v>826</v>
      </c>
    </row>
    <row r="258" ht="22.5" customHeight="1">
      <c r="A258" s="17" t="s">
        <v>352</v>
      </c>
      <c r="B258" s="17" t="s">
        <v>727</v>
      </c>
      <c r="C258" s="18">
        <v>189.958455</v>
      </c>
      <c r="D258" s="18">
        <v>26.4</v>
      </c>
      <c r="E258" s="18">
        <v>12000.0</v>
      </c>
      <c r="F258" s="17" t="s">
        <v>826</v>
      </c>
    </row>
    <row r="259" ht="22.5" customHeight="1">
      <c r="A259" s="17" t="s">
        <v>352</v>
      </c>
      <c r="B259" s="17" t="s">
        <v>728</v>
      </c>
      <c r="C259" s="18">
        <v>191.961487</v>
      </c>
      <c r="D259" s="18">
        <v>41.0</v>
      </c>
      <c r="E259" s="18">
        <v>12000.0</v>
      </c>
      <c r="F259" s="17" t="s">
        <v>826</v>
      </c>
    </row>
    <row r="260" ht="22.5" customHeight="1">
      <c r="A260" s="17" t="s">
        <v>365</v>
      </c>
      <c r="B260" s="17" t="s">
        <v>729</v>
      </c>
      <c r="C260" s="18">
        <v>190.960603</v>
      </c>
      <c r="D260" s="18">
        <v>37.3</v>
      </c>
      <c r="E260" s="18">
        <v>50000.0</v>
      </c>
      <c r="F260" s="17" t="s">
        <v>826</v>
      </c>
    </row>
    <row r="261" ht="22.5" customHeight="1">
      <c r="A261" s="17" t="s">
        <v>365</v>
      </c>
      <c r="B261" s="17" t="s">
        <v>730</v>
      </c>
      <c r="C261" s="18">
        <v>192.962942</v>
      </c>
      <c r="D261" s="18">
        <v>62.7</v>
      </c>
      <c r="E261" s="18">
        <v>50000.0</v>
      </c>
      <c r="F261" s="17" t="s">
        <v>826</v>
      </c>
    </row>
    <row r="262" ht="22.5" customHeight="1">
      <c r="A262" s="17" t="s">
        <v>363</v>
      </c>
      <c r="B262" s="17" t="s">
        <v>731</v>
      </c>
      <c r="C262" s="18">
        <v>189.959937</v>
      </c>
      <c r="D262" s="18">
        <v>0.01</v>
      </c>
      <c r="E262" s="18">
        <v>42.4</v>
      </c>
      <c r="F262" s="17" t="s">
        <v>856</v>
      </c>
    </row>
    <row r="263" ht="22.5" customHeight="1">
      <c r="A263" s="17" t="s">
        <v>363</v>
      </c>
      <c r="B263" s="17" t="s">
        <v>732</v>
      </c>
      <c r="C263" s="18">
        <v>191.961049</v>
      </c>
      <c r="D263" s="18">
        <v>0.79</v>
      </c>
      <c r="E263" s="18">
        <v>42.4</v>
      </c>
      <c r="F263" s="17" t="s">
        <v>856</v>
      </c>
    </row>
    <row r="264" ht="22.5" customHeight="1">
      <c r="A264" s="17" t="s">
        <v>363</v>
      </c>
      <c r="B264" s="17" t="s">
        <v>733</v>
      </c>
      <c r="C264" s="18">
        <v>193.962679</v>
      </c>
      <c r="D264" s="18">
        <v>32.9</v>
      </c>
      <c r="E264" s="18">
        <v>42.4</v>
      </c>
      <c r="F264" s="17" t="s">
        <v>856</v>
      </c>
    </row>
    <row r="265" ht="22.5" customHeight="1">
      <c r="A265" s="17" t="s">
        <v>363</v>
      </c>
      <c r="B265" s="17" t="s">
        <v>734</v>
      </c>
      <c r="C265" s="18">
        <v>194.964785</v>
      </c>
      <c r="D265" s="18">
        <v>33.8</v>
      </c>
      <c r="E265" s="18">
        <v>42.4</v>
      </c>
      <c r="F265" s="17" t="s">
        <v>856</v>
      </c>
    </row>
    <row r="266" ht="22.5" customHeight="1">
      <c r="A266" s="17" t="s">
        <v>363</v>
      </c>
      <c r="B266" s="17" t="s">
        <v>735</v>
      </c>
      <c r="C266" s="18">
        <v>195.964947</v>
      </c>
      <c r="D266" s="18">
        <v>25.3</v>
      </c>
      <c r="E266" s="18">
        <v>42.4</v>
      </c>
      <c r="F266" s="17" t="s">
        <v>856</v>
      </c>
    </row>
    <row r="267" ht="22.5" customHeight="1">
      <c r="A267" s="17" t="s">
        <v>363</v>
      </c>
      <c r="B267" s="17" t="s">
        <v>736</v>
      </c>
      <c r="C267" s="18">
        <v>197.967879</v>
      </c>
      <c r="D267" s="18">
        <v>7.2</v>
      </c>
      <c r="E267" s="18">
        <v>42.4</v>
      </c>
      <c r="F267" s="17" t="s">
        <v>856</v>
      </c>
    </row>
    <row r="268" ht="22.5" customHeight="1">
      <c r="A268" s="17" t="s">
        <v>375</v>
      </c>
      <c r="B268" s="17" t="s">
        <v>737</v>
      </c>
      <c r="C268" s="18">
        <v>196.96656</v>
      </c>
      <c r="D268" s="18">
        <v>100.0</v>
      </c>
      <c r="E268" s="18">
        <v>132.95</v>
      </c>
      <c r="F268" s="17" t="s">
        <v>857</v>
      </c>
    </row>
    <row r="269" ht="22.5" customHeight="1">
      <c r="A269" s="17" t="s">
        <v>373</v>
      </c>
      <c r="B269" s="17" t="s">
        <v>738</v>
      </c>
      <c r="C269" s="18">
        <v>195.965812</v>
      </c>
      <c r="D269" s="18">
        <v>0.15</v>
      </c>
      <c r="E269" s="18">
        <v>28.5</v>
      </c>
      <c r="F269" s="17" t="s">
        <v>858</v>
      </c>
    </row>
    <row r="270" ht="22.5" customHeight="1">
      <c r="A270" s="17" t="s">
        <v>373</v>
      </c>
      <c r="B270" s="17" t="s">
        <v>739</v>
      </c>
      <c r="C270" s="18">
        <v>197.96676</v>
      </c>
      <c r="D270" s="18">
        <v>10.1</v>
      </c>
      <c r="E270" s="18">
        <v>28.5</v>
      </c>
      <c r="F270" s="17" t="s">
        <v>858</v>
      </c>
    </row>
    <row r="271" ht="22.5" customHeight="1">
      <c r="A271" s="17" t="s">
        <v>373</v>
      </c>
      <c r="B271" s="17" t="s">
        <v>740</v>
      </c>
      <c r="C271" s="18">
        <v>198.968269</v>
      </c>
      <c r="D271" s="18">
        <v>17.0</v>
      </c>
      <c r="E271" s="18">
        <v>28.5</v>
      </c>
      <c r="F271" s="17" t="s">
        <v>858</v>
      </c>
    </row>
    <row r="272" ht="22.5" customHeight="1">
      <c r="A272" s="17" t="s">
        <v>373</v>
      </c>
      <c r="B272" s="17" t="s">
        <v>741</v>
      </c>
      <c r="C272" s="18">
        <v>199.968316</v>
      </c>
      <c r="D272" s="18">
        <v>23.1</v>
      </c>
      <c r="E272" s="18">
        <v>28.5</v>
      </c>
      <c r="F272" s="17" t="s">
        <v>858</v>
      </c>
    </row>
    <row r="273" ht="22.5" customHeight="1">
      <c r="A273" s="17" t="s">
        <v>373</v>
      </c>
      <c r="B273" s="17" t="s">
        <v>742</v>
      </c>
      <c r="C273" s="18">
        <v>200.970293</v>
      </c>
      <c r="D273" s="18">
        <v>13.2</v>
      </c>
      <c r="E273" s="18">
        <v>28.5</v>
      </c>
      <c r="F273" s="17" t="s">
        <v>858</v>
      </c>
    </row>
    <row r="274" ht="22.5" customHeight="1">
      <c r="A274" s="17" t="s">
        <v>373</v>
      </c>
      <c r="B274" s="17" t="s">
        <v>743</v>
      </c>
      <c r="C274" s="18">
        <v>201.970632</v>
      </c>
      <c r="D274" s="18">
        <v>29.65</v>
      </c>
      <c r="E274" s="18">
        <v>28.5</v>
      </c>
      <c r="F274" s="17" t="s">
        <v>858</v>
      </c>
    </row>
    <row r="275" ht="22.5" customHeight="1">
      <c r="A275" s="17" t="s">
        <v>373</v>
      </c>
      <c r="B275" s="17" t="s">
        <v>744</v>
      </c>
      <c r="C275" s="18">
        <v>203.973481</v>
      </c>
      <c r="D275" s="18">
        <v>6.8</v>
      </c>
      <c r="E275" s="18">
        <v>28.5</v>
      </c>
      <c r="F275" s="17" t="s">
        <v>858</v>
      </c>
    </row>
    <row r="276" ht="22.5" customHeight="1">
      <c r="A276" s="17" t="s">
        <v>383</v>
      </c>
      <c r="B276" s="17" t="s">
        <v>745</v>
      </c>
      <c r="C276" s="18">
        <v>202.972336</v>
      </c>
      <c r="D276" s="18">
        <v>29.524</v>
      </c>
      <c r="E276" s="18">
        <v>4500.0</v>
      </c>
      <c r="F276" s="17" t="s">
        <v>859</v>
      </c>
    </row>
    <row r="277" ht="22.5" customHeight="1">
      <c r="A277" s="17" t="s">
        <v>383</v>
      </c>
      <c r="B277" s="17" t="s">
        <v>746</v>
      </c>
      <c r="C277" s="18">
        <v>204.97441</v>
      </c>
      <c r="D277" s="18">
        <v>70.476</v>
      </c>
      <c r="E277" s="18">
        <v>4500.0</v>
      </c>
      <c r="F277" s="17" t="s">
        <v>859</v>
      </c>
    </row>
    <row r="278" ht="22.5" customHeight="1">
      <c r="A278" s="17" t="s">
        <v>385</v>
      </c>
      <c r="B278" s="17" t="s">
        <v>747</v>
      </c>
      <c r="C278" s="18">
        <v>203.973037</v>
      </c>
      <c r="D278" s="18">
        <v>1.4</v>
      </c>
      <c r="E278" s="18">
        <v>1.96</v>
      </c>
      <c r="F278" s="17" t="s">
        <v>860</v>
      </c>
    </row>
    <row r="279" ht="22.5" customHeight="1">
      <c r="A279" s="17" t="s">
        <v>385</v>
      </c>
      <c r="B279" s="17" t="s">
        <v>748</v>
      </c>
      <c r="C279" s="18">
        <v>205.974455</v>
      </c>
      <c r="D279" s="18">
        <v>24.1</v>
      </c>
      <c r="E279" s="18">
        <v>1.96</v>
      </c>
      <c r="F279" s="17" t="s">
        <v>860</v>
      </c>
    </row>
    <row r="280" ht="22.5" customHeight="1">
      <c r="A280" s="17" t="s">
        <v>385</v>
      </c>
      <c r="B280" s="17" t="s">
        <v>749</v>
      </c>
      <c r="C280" s="18">
        <v>206.975885</v>
      </c>
      <c r="D280" s="18">
        <v>22.1</v>
      </c>
      <c r="E280" s="18">
        <v>1.96</v>
      </c>
      <c r="F280" s="17" t="s">
        <v>860</v>
      </c>
    </row>
    <row r="281" ht="22.5" customHeight="1">
      <c r="A281" s="17" t="s">
        <v>385</v>
      </c>
      <c r="B281" s="17" t="s">
        <v>750</v>
      </c>
      <c r="C281" s="18">
        <v>207.976641</v>
      </c>
      <c r="D281" s="18">
        <v>52.4</v>
      </c>
      <c r="E281" s="18">
        <v>1.96</v>
      </c>
      <c r="F281" s="17" t="s">
        <v>860</v>
      </c>
    </row>
    <row r="282" ht="22.5" customHeight="1">
      <c r="A282" s="17" t="s">
        <v>392</v>
      </c>
      <c r="B282" s="17" t="s">
        <v>751</v>
      </c>
      <c r="C282" s="18">
        <v>208.980388</v>
      </c>
      <c r="D282" s="18">
        <v>100.0</v>
      </c>
      <c r="E282" s="18">
        <v>18.5</v>
      </c>
      <c r="F282" s="17" t="s">
        <v>861</v>
      </c>
    </row>
    <row r="283" ht="22.5" customHeight="1">
      <c r="A283" s="17" t="s">
        <v>394</v>
      </c>
      <c r="B283" s="17" t="s">
        <v>752</v>
      </c>
      <c r="C283" s="18">
        <v>232.038054</v>
      </c>
      <c r="D283" s="18">
        <v>100.0</v>
      </c>
      <c r="E283" s="18">
        <v>176.0</v>
      </c>
      <c r="F283" s="17" t="s">
        <v>862</v>
      </c>
    </row>
    <row r="284" ht="22.5" customHeight="1">
      <c r="A284" s="17" t="s">
        <v>396</v>
      </c>
      <c r="B284" s="17" t="s">
        <v>753</v>
      </c>
      <c r="C284" s="18">
        <v>234.040947</v>
      </c>
      <c r="D284" s="18">
        <v>0.0055</v>
      </c>
      <c r="E284" s="18">
        <v>158.6</v>
      </c>
      <c r="F284" s="17" t="s">
        <v>863</v>
      </c>
    </row>
    <row r="285" ht="22.5" customHeight="1">
      <c r="A285" s="17" t="s">
        <v>396</v>
      </c>
      <c r="B285" s="17" t="s">
        <v>754</v>
      </c>
      <c r="C285" s="18">
        <v>235.043925</v>
      </c>
      <c r="D285" s="18">
        <v>0.7204</v>
      </c>
      <c r="E285" s="18">
        <v>158.6</v>
      </c>
      <c r="F285" s="17" t="s">
        <v>863</v>
      </c>
    </row>
    <row r="286" ht="22.5" customHeight="1">
      <c r="A286" s="17" t="s">
        <v>396</v>
      </c>
      <c r="B286" s="17" t="s">
        <v>755</v>
      </c>
      <c r="C286" s="18">
        <v>238.050786</v>
      </c>
      <c r="D286" s="18">
        <v>99.2742</v>
      </c>
      <c r="E286" s="18">
        <v>158.6</v>
      </c>
      <c r="F286" s="17" t="s">
        <v>863</v>
      </c>
    </row>
  </sheetData>
  <dataValidations>
    <dataValidation type="custom" allowBlank="1" showDropDown="1" sqref="C2:E286">
      <formula1>AND(ISNUMBER(C2),(NOT(OR(NOT(ISERROR(DATEVALUE(C2))), AND(ISNUMBER(C2), LEFT(CELL("format", C2))="D")))))</formula1>
    </dataValidation>
    <dataValidation allowBlank="1" showDropDown="1" sqref="A2:B286"/>
  </dataValidations>
  <drawing r:id="rId1"/>
  <tableParts count="1">
    <tablePart r:id="rId3"/>
  </tableParts>
</worksheet>
</file>