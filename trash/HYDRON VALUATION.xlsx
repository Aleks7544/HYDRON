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s\Hydron\"/>
    </mc:Choice>
  </mc:AlternateContent>
  <xr:revisionPtr revIDLastSave="0" documentId="13_ncr:1_{79869B34-1A95-479C-B21F-78ABACCEF0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nomination values" sheetId="1" r:id="rId1"/>
    <sheet name="Reality Constants" sheetId="2" r:id="rId2"/>
    <sheet name="Atomic Mass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7" i="3"/>
  <c r="P18" i="3"/>
  <c r="P19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" i="3"/>
  <c r="P289" i="3"/>
  <c r="C3" i="1" s="1"/>
  <c r="M3" i="3"/>
  <c r="J12" i="3"/>
  <c r="J11" i="3"/>
  <c r="I12" i="3"/>
  <c r="J10" i="3"/>
  <c r="I10" i="3"/>
  <c r="J9" i="3"/>
  <c r="I8" i="3"/>
  <c r="J8" i="3" s="1"/>
  <c r="J6" i="3"/>
  <c r="I7" i="3"/>
  <c r="J7" i="3" s="1"/>
  <c r="J2" i="3"/>
  <c r="F18" i="3"/>
  <c r="F29" i="3"/>
  <c r="H29" i="3" s="1"/>
  <c r="F30" i="3"/>
  <c r="F42" i="3"/>
  <c r="F47" i="3"/>
  <c r="H47" i="3" s="1"/>
  <c r="F65" i="3"/>
  <c r="H65" i="3" s="1"/>
  <c r="F66" i="3"/>
  <c r="F78" i="3"/>
  <c r="F85" i="3"/>
  <c r="G85" i="3" s="1"/>
  <c r="F101" i="3"/>
  <c r="H101" i="3" s="1"/>
  <c r="F102" i="3"/>
  <c r="F114" i="3"/>
  <c r="F119" i="3"/>
  <c r="G119" i="3" s="1"/>
  <c r="F126" i="3"/>
  <c r="F134" i="3"/>
  <c r="G134" i="3" s="1"/>
  <c r="F150" i="3"/>
  <c r="F162" i="3"/>
  <c r="F198" i="3"/>
  <c r="F209" i="3"/>
  <c r="H209" i="3" s="1"/>
  <c r="F210" i="3"/>
  <c r="F234" i="3"/>
  <c r="F245" i="3"/>
  <c r="H245" i="3" s="1"/>
  <c r="F246" i="3"/>
  <c r="F258" i="3"/>
  <c r="F263" i="3"/>
  <c r="H263" i="3" s="1"/>
  <c r="F282" i="3"/>
  <c r="B5" i="2"/>
  <c r="B4" i="2"/>
  <c r="E3" i="3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G10" i="3" s="1"/>
  <c r="E11" i="3"/>
  <c r="F11" i="3" s="1"/>
  <c r="G11" i="3" s="1"/>
  <c r="E12" i="3"/>
  <c r="F12" i="3" s="1"/>
  <c r="G12" i="3" s="1"/>
  <c r="E13" i="3"/>
  <c r="F13" i="3" s="1"/>
  <c r="G13" i="3" s="1"/>
  <c r="E14" i="3"/>
  <c r="F14" i="3" s="1"/>
  <c r="E15" i="3"/>
  <c r="F15" i="3" s="1"/>
  <c r="E16" i="3"/>
  <c r="F16" i="3" s="1"/>
  <c r="E17" i="3"/>
  <c r="F17" i="3" s="1"/>
  <c r="E18" i="3"/>
  <c r="E19" i="3"/>
  <c r="F19" i="3" s="1"/>
  <c r="E20" i="3"/>
  <c r="F20" i="3" s="1"/>
  <c r="E21" i="3"/>
  <c r="F21" i="3" s="1"/>
  <c r="E22" i="3"/>
  <c r="F22" i="3" s="1"/>
  <c r="G22" i="3" s="1"/>
  <c r="E23" i="3"/>
  <c r="F23" i="3" s="1"/>
  <c r="E24" i="3"/>
  <c r="F24" i="3" s="1"/>
  <c r="E25" i="3"/>
  <c r="F25" i="3" s="1"/>
  <c r="E26" i="3"/>
  <c r="F26" i="3" s="1"/>
  <c r="E27" i="3"/>
  <c r="F27" i="3" s="1"/>
  <c r="G27" i="3" s="1"/>
  <c r="E28" i="3"/>
  <c r="F28" i="3" s="1"/>
  <c r="G28" i="3" s="1"/>
  <c r="E29" i="3"/>
  <c r="E30" i="3"/>
  <c r="E31" i="3"/>
  <c r="F31" i="3" s="1"/>
  <c r="E32" i="3"/>
  <c r="F32" i="3" s="1"/>
  <c r="E33" i="3"/>
  <c r="F33" i="3" s="1"/>
  <c r="E34" i="3"/>
  <c r="F34" i="3" s="1"/>
  <c r="G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E43" i="3"/>
  <c r="F43" i="3" s="1"/>
  <c r="E44" i="3"/>
  <c r="F44" i="3" s="1"/>
  <c r="E45" i="3"/>
  <c r="F45" i="3" s="1"/>
  <c r="E46" i="3"/>
  <c r="F46" i="3" s="1"/>
  <c r="G46" i="3" s="1"/>
  <c r="E47" i="3"/>
  <c r="E48" i="3"/>
  <c r="F48" i="3" s="1"/>
  <c r="E49" i="3"/>
  <c r="F49" i="3" s="1"/>
  <c r="G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G58" i="3" s="1"/>
  <c r="E59" i="3"/>
  <c r="F59" i="3" s="1"/>
  <c r="E60" i="3"/>
  <c r="F60" i="3" s="1"/>
  <c r="E61" i="3"/>
  <c r="F61" i="3" s="1"/>
  <c r="E62" i="3"/>
  <c r="F62" i="3" s="1"/>
  <c r="E63" i="3"/>
  <c r="F63" i="3" s="1"/>
  <c r="E64" i="3"/>
  <c r="F64" i="3" s="1"/>
  <c r="E65" i="3"/>
  <c r="E66" i="3"/>
  <c r="E67" i="3"/>
  <c r="F67" i="3" s="1"/>
  <c r="E68" i="3"/>
  <c r="F68" i="3" s="1"/>
  <c r="E69" i="3"/>
  <c r="F69" i="3" s="1"/>
  <c r="E70" i="3"/>
  <c r="F70" i="3" s="1"/>
  <c r="G70" i="3" s="1"/>
  <c r="E71" i="3"/>
  <c r="F71" i="3" s="1"/>
  <c r="E72" i="3"/>
  <c r="F72" i="3" s="1"/>
  <c r="E73" i="3"/>
  <c r="F73" i="3" s="1"/>
  <c r="E74" i="3"/>
  <c r="F74" i="3" s="1"/>
  <c r="E75" i="3"/>
  <c r="F75" i="3" s="1"/>
  <c r="E76" i="3"/>
  <c r="F76" i="3" s="1"/>
  <c r="E77" i="3"/>
  <c r="F77" i="3" s="1"/>
  <c r="E78" i="3"/>
  <c r="E79" i="3"/>
  <c r="F79" i="3" s="1"/>
  <c r="E80" i="3"/>
  <c r="F80" i="3" s="1"/>
  <c r="E81" i="3"/>
  <c r="F81" i="3" s="1"/>
  <c r="E82" i="3"/>
  <c r="F82" i="3" s="1"/>
  <c r="G82" i="3" s="1"/>
  <c r="E83" i="3"/>
  <c r="F83" i="3" s="1"/>
  <c r="H83" i="3" s="1"/>
  <c r="E84" i="3"/>
  <c r="F84" i="3" s="1"/>
  <c r="H84" i="3" s="1"/>
  <c r="E85" i="3"/>
  <c r="E86" i="3"/>
  <c r="F86" i="3" s="1"/>
  <c r="E87" i="3"/>
  <c r="F87" i="3" s="1"/>
  <c r="E88" i="3"/>
  <c r="F88" i="3" s="1"/>
  <c r="E89" i="3"/>
  <c r="F89" i="3" s="1"/>
  <c r="E90" i="3"/>
  <c r="F90" i="3" s="1"/>
  <c r="E91" i="3"/>
  <c r="F91" i="3" s="1"/>
  <c r="E92" i="3"/>
  <c r="F92" i="3" s="1"/>
  <c r="E93" i="3"/>
  <c r="F93" i="3" s="1"/>
  <c r="E94" i="3"/>
  <c r="F94" i="3" s="1"/>
  <c r="G94" i="3" s="1"/>
  <c r="E95" i="3"/>
  <c r="F95" i="3" s="1"/>
  <c r="E96" i="3"/>
  <c r="F96" i="3" s="1"/>
  <c r="E97" i="3"/>
  <c r="F97" i="3" s="1"/>
  <c r="E98" i="3"/>
  <c r="F98" i="3" s="1"/>
  <c r="G98" i="3" s="1"/>
  <c r="E99" i="3"/>
  <c r="F99" i="3" s="1"/>
  <c r="G99" i="3" s="1"/>
  <c r="E100" i="3"/>
  <c r="F100" i="3" s="1"/>
  <c r="H100" i="3" s="1"/>
  <c r="E101" i="3"/>
  <c r="E102" i="3"/>
  <c r="E103" i="3"/>
  <c r="F103" i="3" s="1"/>
  <c r="E104" i="3"/>
  <c r="F104" i="3" s="1"/>
  <c r="E105" i="3"/>
  <c r="F105" i="3" s="1"/>
  <c r="E106" i="3"/>
  <c r="F106" i="3" s="1"/>
  <c r="G106" i="3" s="1"/>
  <c r="E107" i="3"/>
  <c r="F107" i="3" s="1"/>
  <c r="E108" i="3"/>
  <c r="F108" i="3" s="1"/>
  <c r="E109" i="3"/>
  <c r="F109" i="3" s="1"/>
  <c r="E110" i="3"/>
  <c r="F110" i="3" s="1"/>
  <c r="E111" i="3"/>
  <c r="F111" i="3" s="1"/>
  <c r="E112" i="3"/>
  <c r="F112" i="3" s="1"/>
  <c r="E113" i="3"/>
  <c r="F113" i="3" s="1"/>
  <c r="E114" i="3"/>
  <c r="E115" i="3"/>
  <c r="F115" i="3" s="1"/>
  <c r="E116" i="3"/>
  <c r="F116" i="3" s="1"/>
  <c r="E117" i="3"/>
  <c r="F117" i="3" s="1"/>
  <c r="E118" i="3"/>
  <c r="F118" i="3" s="1"/>
  <c r="G118" i="3" s="1"/>
  <c r="E119" i="3"/>
  <c r="E120" i="3"/>
  <c r="F120" i="3" s="1"/>
  <c r="G120" i="3" s="1"/>
  <c r="E121" i="3"/>
  <c r="F121" i="3" s="1"/>
  <c r="G121" i="3" s="1"/>
  <c r="E122" i="3"/>
  <c r="F122" i="3" s="1"/>
  <c r="E123" i="3"/>
  <c r="F123" i="3" s="1"/>
  <c r="E124" i="3"/>
  <c r="F124" i="3" s="1"/>
  <c r="E125" i="3"/>
  <c r="F125" i="3" s="1"/>
  <c r="E126" i="3"/>
  <c r="E127" i="3"/>
  <c r="F127" i="3" s="1"/>
  <c r="E128" i="3"/>
  <c r="F128" i="3" s="1"/>
  <c r="E129" i="3"/>
  <c r="F129" i="3" s="1"/>
  <c r="E130" i="3"/>
  <c r="F130" i="3" s="1"/>
  <c r="G130" i="3" s="1"/>
  <c r="E131" i="3"/>
  <c r="F131" i="3" s="1"/>
  <c r="E132" i="3"/>
  <c r="F132" i="3" s="1"/>
  <c r="E133" i="3"/>
  <c r="F133" i="3" s="1"/>
  <c r="E134" i="3"/>
  <c r="E135" i="3"/>
  <c r="F135" i="3" s="1"/>
  <c r="G135" i="3" s="1"/>
  <c r="E136" i="3"/>
  <c r="F136" i="3" s="1"/>
  <c r="G136" i="3" s="1"/>
  <c r="E137" i="3"/>
  <c r="F137" i="3" s="1"/>
  <c r="H137" i="3" s="1"/>
  <c r="E138" i="3"/>
  <c r="F138" i="3" s="1"/>
  <c r="E139" i="3"/>
  <c r="F139" i="3" s="1"/>
  <c r="E140" i="3"/>
  <c r="F140" i="3" s="1"/>
  <c r="E141" i="3"/>
  <c r="F141" i="3" s="1"/>
  <c r="E142" i="3"/>
  <c r="F142" i="3" s="1"/>
  <c r="G142" i="3" s="1"/>
  <c r="E143" i="3"/>
  <c r="F143" i="3" s="1"/>
  <c r="E144" i="3"/>
  <c r="F144" i="3" s="1"/>
  <c r="E145" i="3"/>
  <c r="F145" i="3" s="1"/>
  <c r="E146" i="3"/>
  <c r="F146" i="3" s="1"/>
  <c r="E147" i="3"/>
  <c r="F147" i="3" s="1"/>
  <c r="E148" i="3"/>
  <c r="F148" i="3" s="1"/>
  <c r="E149" i="3"/>
  <c r="F149" i="3" s="1"/>
  <c r="E150" i="3"/>
  <c r="E151" i="3"/>
  <c r="F151" i="3" s="1"/>
  <c r="E152" i="3"/>
  <c r="F152" i="3" s="1"/>
  <c r="E153" i="3"/>
  <c r="F153" i="3" s="1"/>
  <c r="E154" i="3"/>
  <c r="F154" i="3" s="1"/>
  <c r="H154" i="3" s="1"/>
  <c r="E155" i="3"/>
  <c r="F155" i="3" s="1"/>
  <c r="H155" i="3" s="1"/>
  <c r="E156" i="3"/>
  <c r="F156" i="3" s="1"/>
  <c r="H156" i="3" s="1"/>
  <c r="E157" i="3"/>
  <c r="F157" i="3" s="1"/>
  <c r="H157" i="3" s="1"/>
  <c r="E158" i="3"/>
  <c r="F158" i="3" s="1"/>
  <c r="E159" i="3"/>
  <c r="F159" i="3" s="1"/>
  <c r="E160" i="3"/>
  <c r="F160" i="3" s="1"/>
  <c r="E161" i="3"/>
  <c r="F161" i="3" s="1"/>
  <c r="E162" i="3"/>
  <c r="E163" i="3"/>
  <c r="F163" i="3" s="1"/>
  <c r="E164" i="3"/>
  <c r="F164" i="3" s="1"/>
  <c r="E165" i="3"/>
  <c r="F165" i="3" s="1"/>
  <c r="E166" i="3"/>
  <c r="F166" i="3" s="1"/>
  <c r="G166" i="3" s="1"/>
  <c r="E167" i="3"/>
  <c r="F167" i="3" s="1"/>
  <c r="E168" i="3"/>
  <c r="F168" i="3" s="1"/>
  <c r="E169" i="3"/>
  <c r="F169" i="3" s="1"/>
  <c r="E170" i="3"/>
  <c r="F170" i="3" s="1"/>
  <c r="H170" i="3" s="1"/>
  <c r="E171" i="3"/>
  <c r="F171" i="3" s="1"/>
  <c r="H171" i="3" s="1"/>
  <c r="E172" i="3"/>
  <c r="F172" i="3" s="1"/>
  <c r="H172" i="3" s="1"/>
  <c r="E173" i="3"/>
  <c r="F173" i="3" s="1"/>
  <c r="H173" i="3" s="1"/>
  <c r="E174" i="3"/>
  <c r="F174" i="3" s="1"/>
  <c r="E175" i="3"/>
  <c r="F175" i="3" s="1"/>
  <c r="E176" i="3"/>
  <c r="F176" i="3" s="1"/>
  <c r="E177" i="3"/>
  <c r="F177" i="3" s="1"/>
  <c r="E178" i="3"/>
  <c r="F178" i="3" s="1"/>
  <c r="G178" i="3" s="1"/>
  <c r="E179" i="3"/>
  <c r="F179" i="3" s="1"/>
  <c r="E180" i="3"/>
  <c r="F180" i="3" s="1"/>
  <c r="E181" i="3"/>
  <c r="F181" i="3" s="1"/>
  <c r="E182" i="3"/>
  <c r="F182" i="3" s="1"/>
  <c r="E183" i="3"/>
  <c r="F183" i="3" s="1"/>
  <c r="E184" i="3"/>
  <c r="F184" i="3" s="1"/>
  <c r="E185" i="3"/>
  <c r="F185" i="3" s="1"/>
  <c r="E186" i="3"/>
  <c r="F186" i="3" s="1"/>
  <c r="E187" i="3"/>
  <c r="F187" i="3" s="1"/>
  <c r="E188" i="3"/>
  <c r="F188" i="3" s="1"/>
  <c r="E189" i="3"/>
  <c r="F189" i="3" s="1"/>
  <c r="E190" i="3"/>
  <c r="F190" i="3" s="1"/>
  <c r="G190" i="3" s="1"/>
  <c r="E191" i="3"/>
  <c r="F191" i="3" s="1"/>
  <c r="E192" i="3"/>
  <c r="F192" i="3" s="1"/>
  <c r="H192" i="3" s="1"/>
  <c r="E193" i="3"/>
  <c r="F193" i="3" s="1"/>
  <c r="H193" i="3" s="1"/>
  <c r="E194" i="3"/>
  <c r="F194" i="3" s="1"/>
  <c r="E195" i="3"/>
  <c r="F195" i="3" s="1"/>
  <c r="E196" i="3"/>
  <c r="F196" i="3" s="1"/>
  <c r="E197" i="3"/>
  <c r="F197" i="3" s="1"/>
  <c r="E198" i="3"/>
  <c r="E199" i="3"/>
  <c r="F199" i="3" s="1"/>
  <c r="E200" i="3"/>
  <c r="F200" i="3" s="1"/>
  <c r="E201" i="3"/>
  <c r="F201" i="3" s="1"/>
  <c r="E202" i="3"/>
  <c r="F202" i="3" s="1"/>
  <c r="G202" i="3" s="1"/>
  <c r="E203" i="3"/>
  <c r="F203" i="3" s="1"/>
  <c r="E204" i="3"/>
  <c r="F204" i="3" s="1"/>
  <c r="E205" i="3"/>
  <c r="F205" i="3" s="1"/>
  <c r="E206" i="3"/>
  <c r="F206" i="3" s="1"/>
  <c r="E207" i="3"/>
  <c r="F207" i="3" s="1"/>
  <c r="E208" i="3"/>
  <c r="F208" i="3" s="1"/>
  <c r="E209" i="3"/>
  <c r="E210" i="3"/>
  <c r="E211" i="3"/>
  <c r="F211" i="3" s="1"/>
  <c r="E212" i="3"/>
  <c r="F212" i="3" s="1"/>
  <c r="E213" i="3"/>
  <c r="F213" i="3" s="1"/>
  <c r="E214" i="3"/>
  <c r="F214" i="3" s="1"/>
  <c r="H214" i="3" s="1"/>
  <c r="E215" i="3"/>
  <c r="F215" i="3" s="1"/>
  <c r="E216" i="3"/>
  <c r="F216" i="3" s="1"/>
  <c r="E217" i="3"/>
  <c r="F217" i="3" s="1"/>
  <c r="E218" i="3"/>
  <c r="F218" i="3" s="1"/>
  <c r="E219" i="3"/>
  <c r="F219" i="3" s="1"/>
  <c r="E220" i="3"/>
  <c r="F220" i="3" s="1"/>
  <c r="E221" i="3"/>
  <c r="F221" i="3" s="1"/>
  <c r="E222" i="3"/>
  <c r="F222" i="3" s="1"/>
  <c r="E223" i="3"/>
  <c r="F223" i="3" s="1"/>
  <c r="E224" i="3"/>
  <c r="F224" i="3" s="1"/>
  <c r="E225" i="3"/>
  <c r="F225" i="3" s="1"/>
  <c r="E226" i="3"/>
  <c r="F226" i="3" s="1"/>
  <c r="H226" i="3" s="1"/>
  <c r="E227" i="3"/>
  <c r="F227" i="3" s="1"/>
  <c r="E228" i="3"/>
  <c r="F228" i="3" s="1"/>
  <c r="E229" i="3"/>
  <c r="F229" i="3" s="1"/>
  <c r="G229" i="3" s="1"/>
  <c r="E230" i="3"/>
  <c r="F230" i="3" s="1"/>
  <c r="E231" i="3"/>
  <c r="F231" i="3" s="1"/>
  <c r="E232" i="3"/>
  <c r="F232" i="3" s="1"/>
  <c r="E233" i="3"/>
  <c r="F233" i="3" s="1"/>
  <c r="E234" i="3"/>
  <c r="E235" i="3"/>
  <c r="F235" i="3" s="1"/>
  <c r="E236" i="3"/>
  <c r="F236" i="3" s="1"/>
  <c r="E237" i="3"/>
  <c r="F237" i="3" s="1"/>
  <c r="E238" i="3"/>
  <c r="F238" i="3" s="1"/>
  <c r="H238" i="3" s="1"/>
  <c r="E239" i="3"/>
  <c r="F239" i="3" s="1"/>
  <c r="E240" i="3"/>
  <c r="F240" i="3" s="1"/>
  <c r="E241" i="3"/>
  <c r="F241" i="3" s="1"/>
  <c r="E242" i="3"/>
  <c r="F242" i="3" s="1"/>
  <c r="E243" i="3"/>
  <c r="F243" i="3" s="1"/>
  <c r="E244" i="3"/>
  <c r="F244" i="3" s="1"/>
  <c r="E245" i="3"/>
  <c r="E246" i="3"/>
  <c r="E247" i="3"/>
  <c r="F247" i="3" s="1"/>
  <c r="E248" i="3"/>
  <c r="F248" i="3" s="1"/>
  <c r="E249" i="3"/>
  <c r="F249" i="3" s="1"/>
  <c r="E250" i="3"/>
  <c r="F250" i="3" s="1"/>
  <c r="G250" i="3" s="1"/>
  <c r="E251" i="3"/>
  <c r="F251" i="3" s="1"/>
  <c r="E252" i="3"/>
  <c r="F252" i="3" s="1"/>
  <c r="E253" i="3"/>
  <c r="F253" i="3" s="1"/>
  <c r="E254" i="3"/>
  <c r="F254" i="3" s="1"/>
  <c r="E255" i="3"/>
  <c r="F255" i="3" s="1"/>
  <c r="E256" i="3"/>
  <c r="F256" i="3" s="1"/>
  <c r="E257" i="3"/>
  <c r="F257" i="3" s="1"/>
  <c r="E258" i="3"/>
  <c r="E259" i="3"/>
  <c r="F259" i="3" s="1"/>
  <c r="E260" i="3"/>
  <c r="F260" i="3" s="1"/>
  <c r="E261" i="3"/>
  <c r="F261" i="3" s="1"/>
  <c r="E262" i="3"/>
  <c r="F262" i="3" s="1"/>
  <c r="H262" i="3" s="1"/>
  <c r="E263" i="3"/>
  <c r="E264" i="3"/>
  <c r="F264" i="3" s="1"/>
  <c r="E265" i="3"/>
  <c r="F265" i="3" s="1"/>
  <c r="G265" i="3" s="1"/>
  <c r="E266" i="3"/>
  <c r="F266" i="3" s="1"/>
  <c r="E267" i="3"/>
  <c r="F267" i="3" s="1"/>
  <c r="E268" i="3"/>
  <c r="F268" i="3" s="1"/>
  <c r="E269" i="3"/>
  <c r="F269" i="3" s="1"/>
  <c r="E270" i="3"/>
  <c r="F270" i="3" s="1"/>
  <c r="E271" i="3"/>
  <c r="F271" i="3" s="1"/>
  <c r="E272" i="3"/>
  <c r="F272" i="3" s="1"/>
  <c r="E273" i="3"/>
  <c r="F273" i="3" s="1"/>
  <c r="E274" i="3"/>
  <c r="F274" i="3" s="1"/>
  <c r="G274" i="3" s="1"/>
  <c r="E275" i="3"/>
  <c r="F275" i="3" s="1"/>
  <c r="E276" i="3"/>
  <c r="F276" i="3" s="1"/>
  <c r="E277" i="3"/>
  <c r="F277" i="3" s="1"/>
  <c r="E278" i="3"/>
  <c r="F278" i="3" s="1"/>
  <c r="E279" i="3"/>
  <c r="F279" i="3" s="1"/>
  <c r="E280" i="3"/>
  <c r="F280" i="3" s="1"/>
  <c r="E281" i="3"/>
  <c r="F281" i="3" s="1"/>
  <c r="H281" i="3" s="1"/>
  <c r="E282" i="3"/>
  <c r="E283" i="3"/>
  <c r="F283" i="3" s="1"/>
  <c r="E284" i="3"/>
  <c r="F284" i="3" s="1"/>
  <c r="E285" i="3"/>
  <c r="F285" i="3" s="1"/>
  <c r="E286" i="3"/>
  <c r="F286" i="3" s="1"/>
  <c r="G286" i="3" s="1"/>
  <c r="E287" i="3"/>
  <c r="F287" i="3" s="1"/>
  <c r="E288" i="3"/>
  <c r="F288" i="3" s="1"/>
  <c r="E2" i="3"/>
  <c r="F2" i="3" s="1"/>
  <c r="B2" i="2"/>
  <c r="B4" i="1"/>
  <c r="B5" i="1" s="1"/>
  <c r="B6" i="1" s="1"/>
  <c r="B7" i="1" s="1"/>
  <c r="B3" i="1"/>
  <c r="C2" i="1" l="1"/>
  <c r="C7" i="1"/>
  <c r="C6" i="1"/>
  <c r="C4" i="1"/>
  <c r="H280" i="3"/>
  <c r="G280" i="3"/>
  <c r="G63" i="3"/>
  <c r="H63" i="3"/>
  <c r="H208" i="3"/>
  <c r="G208" i="3"/>
  <c r="H244" i="3"/>
  <c r="G244" i="3"/>
  <c r="H206" i="3"/>
  <c r="G206" i="3"/>
  <c r="G64" i="3"/>
  <c r="H64" i="3"/>
  <c r="H243" i="3"/>
  <c r="G243" i="3"/>
  <c r="H207" i="3"/>
  <c r="G207" i="3"/>
  <c r="H278" i="3"/>
  <c r="G278" i="3"/>
  <c r="H26" i="3"/>
  <c r="G26" i="3"/>
  <c r="H264" i="3"/>
  <c r="G264" i="3"/>
  <c r="H228" i="3"/>
  <c r="G228" i="3"/>
  <c r="H48" i="3"/>
  <c r="G48" i="3"/>
  <c r="H227" i="3"/>
  <c r="G227" i="3"/>
  <c r="H191" i="3"/>
  <c r="G191" i="3"/>
  <c r="H279" i="3"/>
  <c r="G279" i="3"/>
  <c r="H242" i="3"/>
  <c r="G242" i="3"/>
  <c r="G62" i="3"/>
  <c r="H62" i="3"/>
  <c r="H190" i="3"/>
  <c r="H166" i="3"/>
  <c r="H130" i="3"/>
  <c r="G263" i="3"/>
  <c r="H106" i="3"/>
  <c r="G262" i="3"/>
  <c r="G47" i="3"/>
  <c r="H274" i="3"/>
  <c r="H250" i="3"/>
  <c r="H46" i="3"/>
  <c r="H22" i="3"/>
  <c r="G226" i="3"/>
  <c r="H196" i="3"/>
  <c r="G196" i="3"/>
  <c r="H4" i="3"/>
  <c r="G4" i="3"/>
  <c r="H255" i="3"/>
  <c r="G255" i="3"/>
  <c r="G123" i="3"/>
  <c r="H123" i="3"/>
  <c r="G15" i="3"/>
  <c r="H15" i="3"/>
  <c r="H254" i="3"/>
  <c r="G254" i="3"/>
  <c r="H86" i="3"/>
  <c r="G86" i="3"/>
  <c r="G50" i="3"/>
  <c r="H50" i="3"/>
  <c r="G38" i="3"/>
  <c r="H38" i="3"/>
  <c r="G14" i="3"/>
  <c r="H14" i="3"/>
  <c r="G88" i="3"/>
  <c r="H88" i="3"/>
  <c r="H219" i="3"/>
  <c r="G219" i="3"/>
  <c r="G74" i="3"/>
  <c r="H74" i="3"/>
  <c r="G133" i="3"/>
  <c r="H133" i="3"/>
  <c r="G73" i="3"/>
  <c r="H73" i="3"/>
  <c r="H61" i="3"/>
  <c r="G61" i="3"/>
  <c r="G37" i="3"/>
  <c r="H37" i="3"/>
  <c r="G25" i="3"/>
  <c r="H25" i="3"/>
  <c r="H220" i="3"/>
  <c r="G220" i="3"/>
  <c r="G40" i="3"/>
  <c r="H40" i="3"/>
  <c r="H159" i="3"/>
  <c r="G159" i="3"/>
  <c r="H182" i="3"/>
  <c r="G182" i="3"/>
  <c r="H216" i="3"/>
  <c r="G216" i="3"/>
  <c r="H256" i="3"/>
  <c r="G256" i="3"/>
  <c r="H148" i="3"/>
  <c r="G148" i="3"/>
  <c r="G183" i="3"/>
  <c r="H183" i="3"/>
  <c r="G39" i="3"/>
  <c r="H39" i="3"/>
  <c r="H218" i="3"/>
  <c r="G218" i="3"/>
  <c r="G2" i="3"/>
  <c r="H2" i="3"/>
  <c r="H145" i="3"/>
  <c r="G145" i="3"/>
  <c r="G96" i="3"/>
  <c r="H96" i="3"/>
  <c r="G16" i="3"/>
  <c r="H16" i="3"/>
  <c r="G75" i="3"/>
  <c r="H75" i="3"/>
  <c r="H194" i="3"/>
  <c r="G194" i="3"/>
  <c r="G205" i="3"/>
  <c r="H205" i="3"/>
  <c r="H144" i="3"/>
  <c r="G144" i="3"/>
  <c r="G72" i="3"/>
  <c r="H72" i="3"/>
  <c r="H275" i="3"/>
  <c r="G275" i="3"/>
  <c r="G167" i="3"/>
  <c r="H167" i="3"/>
  <c r="G71" i="3"/>
  <c r="H71" i="3"/>
  <c r="H268" i="3"/>
  <c r="G268" i="3"/>
  <c r="H124" i="3"/>
  <c r="G124" i="3"/>
  <c r="H267" i="3"/>
  <c r="G267" i="3"/>
  <c r="G146" i="3"/>
  <c r="H146" i="3"/>
  <c r="H253" i="3"/>
  <c r="G253" i="3"/>
  <c r="G97" i="3"/>
  <c r="H97" i="3"/>
  <c r="G252" i="3"/>
  <c r="H252" i="3"/>
  <c r="H179" i="3"/>
  <c r="G179" i="3"/>
  <c r="G95" i="3"/>
  <c r="H95" i="3"/>
  <c r="H232" i="3"/>
  <c r="G232" i="3"/>
  <c r="G76" i="3"/>
  <c r="H76" i="3"/>
  <c r="H195" i="3"/>
  <c r="G195" i="3"/>
  <c r="G51" i="3"/>
  <c r="H51" i="3"/>
  <c r="H122" i="3"/>
  <c r="G122" i="3"/>
  <c r="H217" i="3"/>
  <c r="G217" i="3"/>
  <c r="G288" i="3"/>
  <c r="H288" i="3"/>
  <c r="G168" i="3"/>
  <c r="H168" i="3"/>
  <c r="H24" i="3"/>
  <c r="G24" i="3"/>
  <c r="G251" i="3"/>
  <c r="H251" i="3"/>
  <c r="G107" i="3"/>
  <c r="H107" i="3"/>
  <c r="G112" i="3"/>
  <c r="H112" i="3"/>
  <c r="H147" i="3"/>
  <c r="G147" i="3"/>
  <c r="H3" i="3"/>
  <c r="G3" i="3"/>
  <c r="G266" i="3"/>
  <c r="H266" i="3"/>
  <c r="G110" i="3"/>
  <c r="H110" i="3"/>
  <c r="H169" i="3"/>
  <c r="G169" i="3"/>
  <c r="H276" i="3"/>
  <c r="G276" i="3"/>
  <c r="H240" i="3"/>
  <c r="G240" i="3"/>
  <c r="G132" i="3"/>
  <c r="H132" i="3"/>
  <c r="G60" i="3"/>
  <c r="H60" i="3"/>
  <c r="G287" i="3"/>
  <c r="H287" i="3"/>
  <c r="H203" i="3"/>
  <c r="G203" i="3"/>
  <c r="G143" i="3"/>
  <c r="H143" i="3"/>
  <c r="H23" i="3"/>
  <c r="G23" i="3"/>
  <c r="H160" i="3"/>
  <c r="G160" i="3"/>
  <c r="G52" i="3"/>
  <c r="H52" i="3"/>
  <c r="H231" i="3"/>
  <c r="G231" i="3"/>
  <c r="H87" i="3"/>
  <c r="G87" i="3"/>
  <c r="H230" i="3"/>
  <c r="G230" i="3"/>
  <c r="H241" i="3"/>
  <c r="G241" i="3"/>
  <c r="H109" i="3"/>
  <c r="G109" i="3"/>
  <c r="H204" i="3"/>
  <c r="G204" i="3"/>
  <c r="G108" i="3"/>
  <c r="H108" i="3"/>
  <c r="H215" i="3"/>
  <c r="G215" i="3"/>
  <c r="G59" i="3"/>
  <c r="H59" i="3"/>
  <c r="H184" i="3"/>
  <c r="G184" i="3"/>
  <c r="G111" i="3"/>
  <c r="H111" i="3"/>
  <c r="H158" i="3"/>
  <c r="G158" i="3"/>
  <c r="G277" i="3"/>
  <c r="H277" i="3"/>
  <c r="H181" i="3"/>
  <c r="G181" i="3"/>
  <c r="H180" i="3"/>
  <c r="G180" i="3"/>
  <c r="G36" i="3"/>
  <c r="H36" i="3"/>
  <c r="H239" i="3"/>
  <c r="G239" i="3"/>
  <c r="H131" i="3"/>
  <c r="G131" i="3"/>
  <c r="G35" i="3"/>
  <c r="H35" i="3"/>
  <c r="H269" i="3"/>
  <c r="G269" i="3"/>
  <c r="H257" i="3"/>
  <c r="G257" i="3"/>
  <c r="H233" i="3"/>
  <c r="G233" i="3"/>
  <c r="H221" i="3"/>
  <c r="G221" i="3"/>
  <c r="H197" i="3"/>
  <c r="G197" i="3"/>
  <c r="H185" i="3"/>
  <c r="G185" i="3"/>
  <c r="H161" i="3"/>
  <c r="G161" i="3"/>
  <c r="H149" i="3"/>
  <c r="G149" i="3"/>
  <c r="H125" i="3"/>
  <c r="G125" i="3"/>
  <c r="H113" i="3"/>
  <c r="G113" i="3"/>
  <c r="H89" i="3"/>
  <c r="G89" i="3"/>
  <c r="H77" i="3"/>
  <c r="G77" i="3"/>
  <c r="H53" i="3"/>
  <c r="G53" i="3"/>
  <c r="H41" i="3"/>
  <c r="G41" i="3"/>
  <c r="H17" i="3"/>
  <c r="G17" i="3"/>
  <c r="H5" i="3"/>
  <c r="G5" i="3"/>
  <c r="G236" i="3"/>
  <c r="H236" i="3"/>
  <c r="G140" i="3"/>
  <c r="H140" i="3"/>
  <c r="G20" i="3"/>
  <c r="H20" i="3"/>
  <c r="H259" i="3"/>
  <c r="G259" i="3"/>
  <c r="H163" i="3"/>
  <c r="G163" i="3"/>
  <c r="H91" i="3"/>
  <c r="G91" i="3"/>
  <c r="H229" i="3"/>
  <c r="H85" i="3"/>
  <c r="G222" i="3"/>
  <c r="H222" i="3"/>
  <c r="G114" i="3"/>
  <c r="H114" i="3"/>
  <c r="G84" i="3"/>
  <c r="G100" i="3"/>
  <c r="G83" i="3"/>
  <c r="H265" i="3"/>
  <c r="H121" i="3"/>
  <c r="H99" i="3"/>
  <c r="H82" i="3"/>
  <c r="G212" i="3"/>
  <c r="H212" i="3"/>
  <c r="G104" i="3"/>
  <c r="H104" i="3"/>
  <c r="G44" i="3"/>
  <c r="H44" i="3"/>
  <c r="H223" i="3"/>
  <c r="G223" i="3"/>
  <c r="H127" i="3"/>
  <c r="G127" i="3"/>
  <c r="H19" i="3"/>
  <c r="G19" i="3"/>
  <c r="G150" i="3"/>
  <c r="H150" i="3"/>
  <c r="G6" i="3"/>
  <c r="H6" i="3"/>
  <c r="H286" i="3"/>
  <c r="H142" i="3"/>
  <c r="H120" i="3"/>
  <c r="H98" i="3"/>
  <c r="G272" i="3"/>
  <c r="H272" i="3"/>
  <c r="G188" i="3"/>
  <c r="H188" i="3"/>
  <c r="G116" i="3"/>
  <c r="H116" i="3"/>
  <c r="G56" i="3"/>
  <c r="H56" i="3"/>
  <c r="H283" i="3"/>
  <c r="G283" i="3"/>
  <c r="H199" i="3"/>
  <c r="G199" i="3"/>
  <c r="H103" i="3"/>
  <c r="G103" i="3"/>
  <c r="H43" i="3"/>
  <c r="G43" i="3"/>
  <c r="G101" i="3"/>
  <c r="G238" i="3"/>
  <c r="G137" i="3"/>
  <c r="H202" i="3"/>
  <c r="H136" i="3"/>
  <c r="H119" i="3"/>
  <c r="H58" i="3"/>
  <c r="G260" i="3"/>
  <c r="H260" i="3"/>
  <c r="G164" i="3"/>
  <c r="H164" i="3"/>
  <c r="G80" i="3"/>
  <c r="H80" i="3"/>
  <c r="G8" i="3"/>
  <c r="H8" i="3"/>
  <c r="H187" i="3"/>
  <c r="G187" i="3"/>
  <c r="H55" i="3"/>
  <c r="G55" i="3"/>
  <c r="G270" i="3"/>
  <c r="H270" i="3"/>
  <c r="G234" i="3"/>
  <c r="H234" i="3"/>
  <c r="G198" i="3"/>
  <c r="H198" i="3"/>
  <c r="G162" i="3"/>
  <c r="H162" i="3"/>
  <c r="G126" i="3"/>
  <c r="H126" i="3"/>
  <c r="G90" i="3"/>
  <c r="H90" i="3"/>
  <c r="G54" i="3"/>
  <c r="H54" i="3"/>
  <c r="G18" i="3"/>
  <c r="H18" i="3"/>
  <c r="G157" i="3"/>
  <c r="H135" i="3"/>
  <c r="H118" i="3"/>
  <c r="H13" i="3"/>
  <c r="G176" i="3"/>
  <c r="H176" i="3"/>
  <c r="G68" i="3"/>
  <c r="H68" i="3"/>
  <c r="H271" i="3"/>
  <c r="G271" i="3"/>
  <c r="H151" i="3"/>
  <c r="G151" i="3"/>
  <c r="H7" i="3"/>
  <c r="G7" i="3"/>
  <c r="G173" i="3"/>
  <c r="G156" i="3"/>
  <c r="H178" i="3"/>
  <c r="H134" i="3"/>
  <c r="H34" i="3"/>
  <c r="H12" i="3"/>
  <c r="G224" i="3"/>
  <c r="H224" i="3"/>
  <c r="G128" i="3"/>
  <c r="H128" i="3"/>
  <c r="H235" i="3"/>
  <c r="G235" i="3"/>
  <c r="H139" i="3"/>
  <c r="G139" i="3"/>
  <c r="H67" i="3"/>
  <c r="G67" i="3"/>
  <c r="G78" i="3"/>
  <c r="H78" i="3"/>
  <c r="G172" i="3"/>
  <c r="G155" i="3"/>
  <c r="G29" i="3"/>
  <c r="H94" i="3"/>
  <c r="H28" i="3"/>
  <c r="H11" i="3"/>
  <c r="G248" i="3"/>
  <c r="H248" i="3"/>
  <c r="G152" i="3"/>
  <c r="H152" i="3"/>
  <c r="G32" i="3"/>
  <c r="H32" i="3"/>
  <c r="G65" i="3"/>
  <c r="H247" i="3"/>
  <c r="G247" i="3"/>
  <c r="H175" i="3"/>
  <c r="G175" i="3"/>
  <c r="H79" i="3"/>
  <c r="G79" i="3"/>
  <c r="G186" i="3"/>
  <c r="H186" i="3"/>
  <c r="G214" i="3"/>
  <c r="G193" i="3"/>
  <c r="G171" i="3"/>
  <c r="G154" i="3"/>
  <c r="H49" i="3"/>
  <c r="H27" i="3"/>
  <c r="H10" i="3"/>
  <c r="G284" i="3"/>
  <c r="H284" i="3"/>
  <c r="G200" i="3"/>
  <c r="H200" i="3"/>
  <c r="G92" i="3"/>
  <c r="H92" i="3"/>
  <c r="H211" i="3"/>
  <c r="G211" i="3"/>
  <c r="H115" i="3"/>
  <c r="G115" i="3"/>
  <c r="H31" i="3"/>
  <c r="G31" i="3"/>
  <c r="G258" i="3"/>
  <c r="H258" i="3"/>
  <c r="G42" i="3"/>
  <c r="H42" i="3"/>
  <c r="G285" i="3"/>
  <c r="H285" i="3"/>
  <c r="G273" i="3"/>
  <c r="H273" i="3"/>
  <c r="G261" i="3"/>
  <c r="H261" i="3"/>
  <c r="H249" i="3"/>
  <c r="G249" i="3"/>
  <c r="G237" i="3"/>
  <c r="H237" i="3"/>
  <c r="G225" i="3"/>
  <c r="H225" i="3"/>
  <c r="G213" i="3"/>
  <c r="H213" i="3"/>
  <c r="H201" i="3"/>
  <c r="G201" i="3"/>
  <c r="G189" i="3"/>
  <c r="H189" i="3"/>
  <c r="G177" i="3"/>
  <c r="H177" i="3"/>
  <c r="H165" i="3"/>
  <c r="G165" i="3"/>
  <c r="G153" i="3"/>
  <c r="H153" i="3"/>
  <c r="H141" i="3"/>
  <c r="G141" i="3"/>
  <c r="G129" i="3"/>
  <c r="H129" i="3"/>
  <c r="H117" i="3"/>
  <c r="G117" i="3"/>
  <c r="G105" i="3"/>
  <c r="H105" i="3"/>
  <c r="H93" i="3"/>
  <c r="G93" i="3"/>
  <c r="G81" i="3"/>
  <c r="H81" i="3"/>
  <c r="H69" i="3"/>
  <c r="G69" i="3"/>
  <c r="G57" i="3"/>
  <c r="H57" i="3"/>
  <c r="G45" i="3"/>
  <c r="H45" i="3"/>
  <c r="G33" i="3"/>
  <c r="H33" i="3"/>
  <c r="G21" i="3"/>
  <c r="H21" i="3"/>
  <c r="H9" i="3"/>
  <c r="G9" i="3"/>
  <c r="G282" i="3"/>
  <c r="H282" i="3"/>
  <c r="G246" i="3"/>
  <c r="H246" i="3"/>
  <c r="G210" i="3"/>
  <c r="H210" i="3"/>
  <c r="G174" i="3"/>
  <c r="H174" i="3"/>
  <c r="G138" i="3"/>
  <c r="H138" i="3"/>
  <c r="G102" i="3"/>
  <c r="H102" i="3"/>
  <c r="G66" i="3"/>
  <c r="H66" i="3"/>
  <c r="G30" i="3"/>
  <c r="H30" i="3"/>
  <c r="G281" i="3"/>
  <c r="G245" i="3"/>
  <c r="G209" i="3"/>
  <c r="G192" i="3"/>
  <c r="G170" i="3"/>
  <c r="H70" i="3"/>
  <c r="I3" i="3"/>
  <c r="J3" i="3" l="1"/>
  <c r="J289" i="3" s="1"/>
</calcChain>
</file>

<file path=xl/sharedStrings.xml><?xml version="1.0" encoding="utf-8"?>
<sst xmlns="http://schemas.openxmlformats.org/spreadsheetml/2006/main" count="889" uniqueCount="435">
  <si>
    <t>Denomination</t>
  </si>
  <si>
    <t>HYA</t>
  </si>
  <si>
    <t>HYB</t>
  </si>
  <si>
    <t>HYG</t>
  </si>
  <si>
    <t>HYD</t>
  </si>
  <si>
    <t>HYE</t>
  </si>
  <si>
    <t>HYZ</t>
  </si>
  <si>
    <t>Number of atomos</t>
  </si>
  <si>
    <t>Name</t>
  </si>
  <si>
    <t>Symbol</t>
  </si>
  <si>
    <t>Mass</t>
  </si>
  <si>
    <t>Abund.</t>
  </si>
  <si>
    <t>Hydrogen</t>
  </si>
  <si>
    <t>H(1)</t>
  </si>
  <si>
    <t>H(2)</t>
  </si>
  <si>
    <t>Helium</t>
  </si>
  <si>
    <t>He(3)</t>
  </si>
  <si>
    <t>He(4)</t>
  </si>
  <si>
    <t>Lithium</t>
  </si>
  <si>
    <t>Li(6)</t>
  </si>
  <si>
    <t>Li(7)</t>
  </si>
  <si>
    <t>Beryllium</t>
  </si>
  <si>
    <t>Be(9)</t>
  </si>
  <si>
    <t>Boron</t>
  </si>
  <si>
    <t>B(10)</t>
  </si>
  <si>
    <t>B(11)</t>
  </si>
  <si>
    <t>Carbon</t>
  </si>
  <si>
    <t>C(12)</t>
  </si>
  <si>
    <t>C(13)</t>
  </si>
  <si>
    <t>Nitrogen</t>
  </si>
  <si>
    <t>N(14)</t>
  </si>
  <si>
    <t>N(15)</t>
  </si>
  <si>
    <t>Oxygen</t>
  </si>
  <si>
    <t>O(16)</t>
  </si>
  <si>
    <t>O(17)</t>
  </si>
  <si>
    <t>O(18)</t>
  </si>
  <si>
    <t>Fluorine</t>
  </si>
  <si>
    <t>F(19)</t>
  </si>
  <si>
    <t>Neon</t>
  </si>
  <si>
    <t>Ne(20)</t>
  </si>
  <si>
    <t>Ne(21)</t>
  </si>
  <si>
    <t>Ne(22)</t>
  </si>
  <si>
    <t>Sodium</t>
  </si>
  <si>
    <t>Na(23)</t>
  </si>
  <si>
    <t>Magnesium</t>
  </si>
  <si>
    <t>Mg(24)</t>
  </si>
  <si>
    <t>Mg(25)</t>
  </si>
  <si>
    <t>Mg(26)</t>
  </si>
  <si>
    <t>Aluminum</t>
  </si>
  <si>
    <t>Al(27)</t>
  </si>
  <si>
    <t>Silicon</t>
  </si>
  <si>
    <t>Si(28)</t>
  </si>
  <si>
    <t>Si(29)</t>
  </si>
  <si>
    <t>Si(30)</t>
  </si>
  <si>
    <t>Phosphorus</t>
  </si>
  <si>
    <t>P(31)</t>
  </si>
  <si>
    <t>Sulfur</t>
  </si>
  <si>
    <t>S(32)</t>
  </si>
  <si>
    <t>S(33)</t>
  </si>
  <si>
    <t>S(34)</t>
  </si>
  <si>
    <t>Chlorine</t>
  </si>
  <si>
    <t>Cl(35)</t>
  </si>
  <si>
    <t>S(36)</t>
  </si>
  <si>
    <t>Argon</t>
  </si>
  <si>
    <t>Ar(36)</t>
  </si>
  <si>
    <t>Cl(37)</t>
  </si>
  <si>
    <t>Ar(38)</t>
  </si>
  <si>
    <t>Potassium</t>
  </si>
  <si>
    <t>K(39)</t>
  </si>
  <si>
    <t>Ar(40)</t>
  </si>
  <si>
    <t>Calcium</t>
  </si>
  <si>
    <t>Ca(40)</t>
  </si>
  <si>
    <t>K(40)</t>
  </si>
  <si>
    <t>K(41)</t>
  </si>
  <si>
    <t>Ca(42)</t>
  </si>
  <si>
    <t>Ca(43)</t>
  </si>
  <si>
    <t>Ca(44)</t>
  </si>
  <si>
    <t>Scandium</t>
  </si>
  <si>
    <t>Sc(45)</t>
  </si>
  <si>
    <t>Titanium</t>
  </si>
  <si>
    <t>Ti(46)</t>
  </si>
  <si>
    <t>Ca(46)</t>
  </si>
  <si>
    <t>Ti(47)</t>
  </si>
  <si>
    <t>Ti(48)</t>
  </si>
  <si>
    <t>Ca(48)</t>
  </si>
  <si>
    <t>Ti(49)</t>
  </si>
  <si>
    <t>Ti(50)</t>
  </si>
  <si>
    <t>Chromium</t>
  </si>
  <si>
    <t>Cr(50)</t>
  </si>
  <si>
    <t>Vanadium</t>
  </si>
  <si>
    <t>V(50)</t>
  </si>
  <si>
    <t>V(51)</t>
  </si>
  <si>
    <t>Cr(52)</t>
  </si>
  <si>
    <t>Cr(53)</t>
  </si>
  <si>
    <t>Cr(54)</t>
  </si>
  <si>
    <t>Iron</t>
  </si>
  <si>
    <t>Fe(54)</t>
  </si>
  <si>
    <t>Manganese</t>
  </si>
  <si>
    <t>Mn(55)</t>
  </si>
  <si>
    <t>Fe(56)</t>
  </si>
  <si>
    <t>Fe(57)</t>
  </si>
  <si>
    <t>Fe(58)</t>
  </si>
  <si>
    <t>Nickel</t>
  </si>
  <si>
    <t>Ni(58)</t>
  </si>
  <si>
    <t>Cobalt</t>
  </si>
  <si>
    <t>Co(59)</t>
  </si>
  <si>
    <t>Ni(60)</t>
  </si>
  <si>
    <t>Ni(61)</t>
  </si>
  <si>
    <t>Ni(62)</t>
  </si>
  <si>
    <t>Copper</t>
  </si>
  <si>
    <t>Cu(63)</t>
  </si>
  <si>
    <t>Ni(64)</t>
  </si>
  <si>
    <t>Zinc</t>
  </si>
  <si>
    <t>Zn(64)</t>
  </si>
  <si>
    <t>Cu(65)</t>
  </si>
  <si>
    <t>Zn(66)</t>
  </si>
  <si>
    <t>Zn(67)</t>
  </si>
  <si>
    <t>Zn(68)</t>
  </si>
  <si>
    <t>Gallium</t>
  </si>
  <si>
    <t>Ga(69)</t>
  </si>
  <si>
    <t>Germanium</t>
  </si>
  <si>
    <t>Ge(70)</t>
  </si>
  <si>
    <t>Zn(70)</t>
  </si>
  <si>
    <t>Ga(71)</t>
  </si>
  <si>
    <t>Ge(72)</t>
  </si>
  <si>
    <t>Ge(73)</t>
  </si>
  <si>
    <t>Ge(74)</t>
  </si>
  <si>
    <t>Selenium</t>
  </si>
  <si>
    <t>Se(74)</t>
  </si>
  <si>
    <t>Arsenic</t>
  </si>
  <si>
    <t>As(75)</t>
  </si>
  <si>
    <t>Se(76)</t>
  </si>
  <si>
    <t>Ge(76)</t>
  </si>
  <si>
    <t>Se(77)</t>
  </si>
  <si>
    <t>Se(78)</t>
  </si>
  <si>
    <t>Krypton</t>
  </si>
  <si>
    <t>Kr(78)</t>
  </si>
  <si>
    <t>Bromine</t>
  </si>
  <si>
    <t>Br(79)</t>
  </si>
  <si>
    <t>Kr(80)</t>
  </si>
  <si>
    <t>Se(80)</t>
  </si>
  <si>
    <t>Br(81)</t>
  </si>
  <si>
    <t>Kr(82)</t>
  </si>
  <si>
    <t>Se(82)</t>
  </si>
  <si>
    <t>Kr(83)</t>
  </si>
  <si>
    <t>Kr(84)</t>
  </si>
  <si>
    <t>Strontium</t>
  </si>
  <si>
    <t>Sr(84)</t>
  </si>
  <si>
    <t>Rubidium</t>
  </si>
  <si>
    <t>Rb(85)</t>
  </si>
  <si>
    <t>Sr(86)</t>
  </si>
  <si>
    <t>Kr(86)</t>
  </si>
  <si>
    <t>Sr(87)</t>
  </si>
  <si>
    <t>Rb(87)</t>
  </si>
  <si>
    <t>Sr(88)</t>
  </si>
  <si>
    <t>Yttrium</t>
  </si>
  <si>
    <t>Y(89)</t>
  </si>
  <si>
    <t>Zirconium</t>
  </si>
  <si>
    <t>Zr(90)</t>
  </si>
  <si>
    <t>Zr(91)</t>
  </si>
  <si>
    <t>Zr(92)</t>
  </si>
  <si>
    <t>Molybdenum</t>
  </si>
  <si>
    <t>Mo(92)</t>
  </si>
  <si>
    <t>Niobium</t>
  </si>
  <si>
    <t>Nb(93)</t>
  </si>
  <si>
    <t>Mo(94)</t>
  </si>
  <si>
    <t>Zr(94)</t>
  </si>
  <si>
    <t>Mo(95)</t>
  </si>
  <si>
    <t>Mo(96)</t>
  </si>
  <si>
    <t>Ruthenium</t>
  </si>
  <si>
    <t>Ru(96)</t>
  </si>
  <si>
    <t>Zr(96)</t>
  </si>
  <si>
    <t>Mo(97)</t>
  </si>
  <si>
    <t>Ru(98)</t>
  </si>
  <si>
    <t>Mo(98)</t>
  </si>
  <si>
    <t>Ru(99)</t>
  </si>
  <si>
    <t>Ru(100)</t>
  </si>
  <si>
    <t>Mo(100)</t>
  </si>
  <si>
    <t>Ru(101)</t>
  </si>
  <si>
    <t>Ru(102)</t>
  </si>
  <si>
    <t>Palladium</t>
  </si>
  <si>
    <t>Pd(102)</t>
  </si>
  <si>
    <t>Rhodium</t>
  </si>
  <si>
    <t>Rh(103)</t>
  </si>
  <si>
    <t>Pd(104)</t>
  </si>
  <si>
    <t>Ru(104)</t>
  </si>
  <si>
    <t>Pd(105)</t>
  </si>
  <si>
    <t>Pd(106)</t>
  </si>
  <si>
    <t>Cadmium</t>
  </si>
  <si>
    <t>Cd(106)</t>
  </si>
  <si>
    <t>Silver</t>
  </si>
  <si>
    <t>Ag(107)</t>
  </si>
  <si>
    <t>Pd(108)</t>
  </si>
  <si>
    <t>Cd(108)</t>
  </si>
  <si>
    <t>Ag(109)</t>
  </si>
  <si>
    <t>Cd(110)</t>
  </si>
  <si>
    <t>Pd(110)</t>
  </si>
  <si>
    <t>Cd(111)</t>
  </si>
  <si>
    <t>Cd(112)</t>
  </si>
  <si>
    <t>Tin</t>
  </si>
  <si>
    <t>Sn(112)</t>
  </si>
  <si>
    <t>Indium</t>
  </si>
  <si>
    <t>In(113)</t>
  </si>
  <si>
    <t>Cd(113)</t>
  </si>
  <si>
    <t>Sn(114)</t>
  </si>
  <si>
    <t>Cd(114)</t>
  </si>
  <si>
    <t>Sn(115)</t>
  </si>
  <si>
    <t>In(115)</t>
  </si>
  <si>
    <t>Sn(116)</t>
  </si>
  <si>
    <t>Cd(116)</t>
  </si>
  <si>
    <t>Sn(117)</t>
  </si>
  <si>
    <t>Sn(118)</t>
  </si>
  <si>
    <t>Sn(119)</t>
  </si>
  <si>
    <t>Sn(120)</t>
  </si>
  <si>
    <t>Tellurium</t>
  </si>
  <si>
    <t>Te(120)</t>
  </si>
  <si>
    <t>Antimony</t>
  </si>
  <si>
    <t>Sb(121)</t>
  </si>
  <si>
    <t>Te(122)</t>
  </si>
  <si>
    <t>Sn(122)</t>
  </si>
  <si>
    <t>Sb(123)</t>
  </si>
  <si>
    <t>Te(123)</t>
  </si>
  <si>
    <t>Te(124)</t>
  </si>
  <si>
    <t>Sn(124)</t>
  </si>
  <si>
    <t>Xenon</t>
  </si>
  <si>
    <t>Xe(124)</t>
  </si>
  <si>
    <t>Te(125)</t>
  </si>
  <si>
    <t>Te(126)</t>
  </si>
  <si>
    <t>Xe(126)</t>
  </si>
  <si>
    <t>Iodine</t>
  </si>
  <si>
    <t>I(127)</t>
  </si>
  <si>
    <t>Xe(128)</t>
  </si>
  <si>
    <t>Te(128)</t>
  </si>
  <si>
    <t>Xe(129)</t>
  </si>
  <si>
    <t>Xe(130)</t>
  </si>
  <si>
    <t>Te(130)</t>
  </si>
  <si>
    <t>Barium</t>
  </si>
  <si>
    <t>Ba(130)</t>
  </si>
  <si>
    <t>Xe(131)</t>
  </si>
  <si>
    <t>Xe(132)</t>
  </si>
  <si>
    <t>Ba(132)</t>
  </si>
  <si>
    <t>Cesium</t>
  </si>
  <si>
    <t>Cs(133)</t>
  </si>
  <si>
    <t>Ba(134)</t>
  </si>
  <si>
    <t>Xe(134)</t>
  </si>
  <si>
    <t>Ba(135)</t>
  </si>
  <si>
    <t>Ba(136)</t>
  </si>
  <si>
    <t>Cerium</t>
  </si>
  <si>
    <t>Ce(136)</t>
  </si>
  <si>
    <t>Xe(136)</t>
  </si>
  <si>
    <t>Ba(137)</t>
  </si>
  <si>
    <t>Ba(138)</t>
  </si>
  <si>
    <t>Ce(138)</t>
  </si>
  <si>
    <t>Lanthanum</t>
  </si>
  <si>
    <t>La(138)</t>
  </si>
  <si>
    <t>La(139)</t>
  </si>
  <si>
    <t>Ce(140)</t>
  </si>
  <si>
    <t>Praseodymium</t>
  </si>
  <si>
    <t>Pr(141)</t>
  </si>
  <si>
    <t>Neodymium</t>
  </si>
  <si>
    <t>Nd(142)</t>
  </si>
  <si>
    <t>Ce(142)</t>
  </si>
  <si>
    <t>Nd(143)</t>
  </si>
  <si>
    <t>Nd(144)</t>
  </si>
  <si>
    <t>Samarium</t>
  </si>
  <si>
    <t>Sm(144)</t>
  </si>
  <si>
    <t>Nd(145)</t>
  </si>
  <si>
    <t>Nd(146)</t>
  </si>
  <si>
    <t>Sm(147)</t>
  </si>
  <si>
    <t>Sm(148)</t>
  </si>
  <si>
    <t>Nd(148)</t>
  </si>
  <si>
    <t>Sm(149)</t>
  </si>
  <si>
    <t>Sm(150)</t>
  </si>
  <si>
    <t>Nd(150)</t>
  </si>
  <si>
    <t>Europium</t>
  </si>
  <si>
    <t>Eu(151)</t>
  </si>
  <si>
    <t>Sm(152)</t>
  </si>
  <si>
    <t>Gadolinium</t>
  </si>
  <si>
    <t>Gd(152)</t>
  </si>
  <si>
    <t>Eu(153)</t>
  </si>
  <si>
    <t>Gd(154)</t>
  </si>
  <si>
    <t>Sm(154)</t>
  </si>
  <si>
    <t>Gd(155)</t>
  </si>
  <si>
    <t>Gd(156)</t>
  </si>
  <si>
    <t>Dysprosium</t>
  </si>
  <si>
    <t>Dy(156)</t>
  </si>
  <si>
    <t>Gd(157)</t>
  </si>
  <si>
    <t>Gd(158)</t>
  </si>
  <si>
    <t>Dy(158)</t>
  </si>
  <si>
    <t>Terbium</t>
  </si>
  <si>
    <t>Tb(159)</t>
  </si>
  <si>
    <t>Dy(160)</t>
  </si>
  <si>
    <t>Gd(160)</t>
  </si>
  <si>
    <t>Dy(161)</t>
  </si>
  <si>
    <t>Dy(162)</t>
  </si>
  <si>
    <t>Erbium</t>
  </si>
  <si>
    <t>Er(162)</t>
  </si>
  <si>
    <t>Dy(163)</t>
  </si>
  <si>
    <t>Dy(164)</t>
  </si>
  <si>
    <t>Er(164)</t>
  </si>
  <si>
    <t>Holmium</t>
  </si>
  <si>
    <t>Ho(165)</t>
  </si>
  <si>
    <t>Er(166)</t>
  </si>
  <si>
    <t>Er(167)</t>
  </si>
  <si>
    <t>Er(168)</t>
  </si>
  <si>
    <t>Ytterbium</t>
  </si>
  <si>
    <t>Yb(168)</t>
  </si>
  <si>
    <t>Thulium</t>
  </si>
  <si>
    <t>Tm(169)</t>
  </si>
  <si>
    <t>Yb(170)</t>
  </si>
  <si>
    <t>Er(170)</t>
  </si>
  <si>
    <t>Yb(171)</t>
  </si>
  <si>
    <t>Yb(172)</t>
  </si>
  <si>
    <t>Yb(173)</t>
  </si>
  <si>
    <t>Yb(174)</t>
  </si>
  <si>
    <t>Hafnium</t>
  </si>
  <si>
    <t>Hf(174)</t>
  </si>
  <si>
    <t>Lutetium</t>
  </si>
  <si>
    <t>Lu(175)</t>
  </si>
  <si>
    <t>Hf(176)</t>
  </si>
  <si>
    <t>Yb(176)</t>
  </si>
  <si>
    <t>Lu(176)</t>
  </si>
  <si>
    <t>Hf(177)</t>
  </si>
  <si>
    <t>Hf(178)</t>
  </si>
  <si>
    <t>Hf(179)</t>
  </si>
  <si>
    <t>Hf(180)</t>
  </si>
  <si>
    <t>Tungsten</t>
  </si>
  <si>
    <t>W(180)</t>
  </si>
  <si>
    <t>Tantalum</t>
  </si>
  <si>
    <t>Ta(180)</t>
  </si>
  <si>
    <t>Ta(181)</t>
  </si>
  <si>
    <t>W(182)</t>
  </si>
  <si>
    <t>W(183)</t>
  </si>
  <si>
    <t>W(184)</t>
  </si>
  <si>
    <t>Osmium</t>
  </si>
  <si>
    <t>Os(184)</t>
  </si>
  <si>
    <t>Rhenium</t>
  </si>
  <si>
    <t>Re(185)</t>
  </si>
  <si>
    <t>Os(186)</t>
  </si>
  <si>
    <t>W(186)</t>
  </si>
  <si>
    <t>Os(187)</t>
  </si>
  <si>
    <t>Re(187)</t>
  </si>
  <si>
    <t>Os(188)</t>
  </si>
  <si>
    <t>Os(189)</t>
  </si>
  <si>
    <t>Os(190)</t>
  </si>
  <si>
    <t>Platinum</t>
  </si>
  <si>
    <t>Pt(190)</t>
  </si>
  <si>
    <t>Iridium</t>
  </si>
  <si>
    <t>Ir(191)</t>
  </si>
  <si>
    <t>Pt(192)</t>
  </si>
  <si>
    <t>Os(192)</t>
  </si>
  <si>
    <t>Ir(193)</t>
  </si>
  <si>
    <t>Pt(194)</t>
  </si>
  <si>
    <t>Pt(195)</t>
  </si>
  <si>
    <t>Pt(196)</t>
  </si>
  <si>
    <t>Mercury</t>
  </si>
  <si>
    <t>Hg(196)</t>
  </si>
  <si>
    <t>Gold</t>
  </si>
  <si>
    <t>Au(197)</t>
  </si>
  <si>
    <t>Hg(198)</t>
  </si>
  <si>
    <t>Pt(198)</t>
  </si>
  <si>
    <t>Hg(199)</t>
  </si>
  <si>
    <t>Hg(200)</t>
  </si>
  <si>
    <t>Hg(201)</t>
  </si>
  <si>
    <t>Hg(202)</t>
  </si>
  <si>
    <t>Thallium</t>
  </si>
  <si>
    <t>Tl(203)</t>
  </si>
  <si>
    <t>Lead</t>
  </si>
  <si>
    <t>Pb(204)</t>
  </si>
  <si>
    <t>Hg(204)</t>
  </si>
  <si>
    <t>Tl(205)</t>
  </si>
  <si>
    <t>Pb(206)</t>
  </si>
  <si>
    <t>Pb(207)</t>
  </si>
  <si>
    <t>Pb(208)</t>
  </si>
  <si>
    <t>Bismuth</t>
  </si>
  <si>
    <t>Bi(209)</t>
  </si>
  <si>
    <t>Thorium</t>
  </si>
  <si>
    <t>Th(232)</t>
  </si>
  <si>
    <t>Uranium</t>
  </si>
  <si>
    <t>U(234)</t>
  </si>
  <si>
    <t>U(235)</t>
  </si>
  <si>
    <t>U(238)</t>
  </si>
  <si>
    <t>Constant name</t>
  </si>
  <si>
    <t>Constant value</t>
  </si>
  <si>
    <t>Atomic Mass (kg)</t>
  </si>
  <si>
    <t>Mass in kg</t>
  </si>
  <si>
    <t>Speed of light</t>
  </si>
  <si>
    <t>Energy (J)</t>
  </si>
  <si>
    <t>eV/J</t>
  </si>
  <si>
    <t>kWh/J</t>
  </si>
  <si>
    <t>Energy (kWh)</t>
  </si>
  <si>
    <t>Energy (eV)</t>
  </si>
  <si>
    <t>Energy (USD)</t>
  </si>
  <si>
    <t>kWh/EUR</t>
  </si>
  <si>
    <t>EUR/USD</t>
  </si>
  <si>
    <t>kWh/USD</t>
  </si>
  <si>
    <t>Value in USD</t>
  </si>
  <si>
    <t>Energy price per 1 amu (USD)</t>
  </si>
  <si>
    <t>Avogadro constant</t>
  </si>
  <si>
    <t>Price per kg</t>
  </si>
  <si>
    <t>Source / Details</t>
  </si>
  <si>
    <t>DOE Hydrogen Program (2012)</t>
  </si>
  <si>
    <t>Cambridge Isotope Laboratories (2020)</t>
  </si>
  <si>
    <t>BBC Science Focus Magazine (2024)</t>
  </si>
  <si>
    <t>United States Geological Survey (2016)</t>
  </si>
  <si>
    <t>Sigma-Aldrich (2025)</t>
  </si>
  <si>
    <t>Shanghai Metals Market (2016)</t>
  </si>
  <si>
    <t>Chemicool (2014)</t>
  </si>
  <si>
    <t>BuyIsotope.com (2021)</t>
  </si>
  <si>
    <t>Praxair (2013)</t>
  </si>
  <si>
    <t>Isotope Suppliers (2024)</t>
  </si>
  <si>
    <t>Chemicool (2012)</t>
  </si>
  <si>
    <t>Linde AG (2016)</t>
  </si>
  <si>
    <t>InfoMine (2017)</t>
  </si>
  <si>
    <t>London Metal Exchange (2017)</t>
  </si>
  <si>
    <t>Deutsche Rohstoffagentur (2016)</t>
  </si>
  <si>
    <t>MineralPrices.com (2017)</t>
  </si>
  <si>
    <t>Kitco Metals (2018)</t>
  </si>
  <si>
    <t>Strategic Metals Invest (2025)</t>
  </si>
  <si>
    <t>Asian Metal (2016)</t>
  </si>
  <si>
    <t>Daily Metal Price (2025)</t>
  </si>
  <si>
    <t>Metal Markets (2024)</t>
  </si>
  <si>
    <t>Noble Gas Market (2024)</t>
  </si>
  <si>
    <t>Chemical Market Pricing (2024)</t>
  </si>
  <si>
    <t>Chemical Market (2020)</t>
  </si>
  <si>
    <t>United States Geological Survey (2021)</t>
  </si>
  <si>
    <t>Rare Earth Elements Market (2024)</t>
  </si>
  <si>
    <t>Periodic Table Market Prices (2020)</t>
  </si>
  <si>
    <t>Chemical Elements Market Pricing (2020)</t>
  </si>
  <si>
    <t>Metallium (2016)</t>
  </si>
  <si>
    <t>Precious Metals Market (2024)</t>
  </si>
  <si>
    <t>Metal Markets Estimate (2024)</t>
  </si>
  <si>
    <t>London Metal Exchange (2024)</t>
  </si>
  <si>
    <t>Nuclear Fuel Market (2024)</t>
  </si>
  <si>
    <t>Nuclear Materials Pricing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</si>
</sst>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77.109375" style="1" bestFit="1" customWidth="1"/>
    <col min="3" max="3" width="21.77734375" customWidth="1"/>
  </cols>
  <sheetData>
    <row r="1" spans="1:3" x14ac:dyDescent="0.3">
      <c r="A1" t="s">
        <v>0</v>
      </c>
      <c r="B1" s="1" t="s">
        <v>7</v>
      </c>
      <c r="C1" t="s">
        <v>396</v>
      </c>
    </row>
    <row r="2" spans="1:3" x14ac:dyDescent="0.3">
      <c r="A2" t="s">
        <v>1</v>
      </c>
      <c r="B2" s="1">
        <v>100</v>
      </c>
      <c r="C2">
        <f>B2*'Atomic Masses'!$P$289</f>
        <v>2.3421431399896248E-18</v>
      </c>
    </row>
    <row r="3" spans="1:3" x14ac:dyDescent="0.3">
      <c r="A3" t="s">
        <v>2</v>
      </c>
      <c r="B3" s="1">
        <f>B2*B2</f>
        <v>10000</v>
      </c>
      <c r="C3">
        <f>B3*'Atomic Masses'!$P$289</f>
        <v>2.3421431399896251E-16</v>
      </c>
    </row>
    <row r="4" spans="1:3" x14ac:dyDescent="0.3">
      <c r="A4" t="s">
        <v>3</v>
      </c>
      <c r="B4" s="1">
        <f t="shared" ref="B4:B7" si="0">B3*B3</f>
        <v>100000000</v>
      </c>
      <c r="C4">
        <f>B4*'Atomic Masses'!$P$289</f>
        <v>2.3421431399896248E-12</v>
      </c>
    </row>
    <row r="5" spans="1:3" x14ac:dyDescent="0.3">
      <c r="A5" t="s">
        <v>4</v>
      </c>
      <c r="B5" s="1">
        <f t="shared" si="0"/>
        <v>1E+16</v>
      </c>
      <c r="C5">
        <f>B5*'Atomic Masses'!$P$289</f>
        <v>2.342143139989625E-4</v>
      </c>
    </row>
    <row r="6" spans="1:3" x14ac:dyDescent="0.3">
      <c r="A6" t="s">
        <v>5</v>
      </c>
      <c r="B6" s="1">
        <f t="shared" si="0"/>
        <v>1.0000000000000001E+32</v>
      </c>
      <c r="C6">
        <f>B6*'Atomic Masses'!$P$289</f>
        <v>2342143139989.625</v>
      </c>
    </row>
    <row r="7" spans="1:3" x14ac:dyDescent="0.3">
      <c r="A7" t="s">
        <v>6</v>
      </c>
      <c r="B7" s="1">
        <f t="shared" si="0"/>
        <v>1.0000000000000002E+64</v>
      </c>
      <c r="C7">
        <f>B7*'Atomic Masses'!$P$289</f>
        <v>2.3421431399896253E+44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C15B-D680-4447-B708-90A93343F91E}">
  <dimension ref="A1:B6"/>
  <sheetViews>
    <sheetView workbookViewId="0">
      <selection activeCell="B6" sqref="B6"/>
    </sheetView>
  </sheetViews>
  <sheetFormatPr defaultRowHeight="14.4" x14ac:dyDescent="0.3"/>
  <cols>
    <col min="1" max="1" width="16.44140625" bestFit="1" customWidth="1"/>
    <col min="2" max="2" width="13.21875" bestFit="1" customWidth="1"/>
    <col min="3" max="3" width="12" bestFit="1" customWidth="1"/>
  </cols>
  <sheetData>
    <row r="1" spans="1:2" x14ac:dyDescent="0.3">
      <c r="A1" t="s">
        <v>382</v>
      </c>
      <c r="B1" t="s">
        <v>383</v>
      </c>
    </row>
    <row r="2" spans="1:2" x14ac:dyDescent="0.3">
      <c r="A2" t="s">
        <v>384</v>
      </c>
      <c r="B2">
        <f>1.66053906892 * 1E-26</f>
        <v>1.66053906892E-26</v>
      </c>
    </row>
    <row r="3" spans="1:2" x14ac:dyDescent="0.3">
      <c r="A3" t="s">
        <v>386</v>
      </c>
      <c r="B3">
        <v>299792458</v>
      </c>
    </row>
    <row r="4" spans="1:2" x14ac:dyDescent="0.3">
      <c r="A4" t="s">
        <v>388</v>
      </c>
      <c r="B4">
        <f>1.602176634 * 0.000000000000000001</f>
        <v>1.6021766340000001E-18</v>
      </c>
    </row>
    <row r="5" spans="1:2" x14ac:dyDescent="0.3">
      <c r="A5" t="s">
        <v>389</v>
      </c>
      <c r="B5">
        <f>3.6*10^6</f>
        <v>3600000</v>
      </c>
    </row>
    <row r="6" spans="1:2" x14ac:dyDescent="0.3">
      <c r="A6" t="s">
        <v>398</v>
      </c>
      <c r="B6">
        <v>6.0219999999999996E+23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F01D-3C9C-47B6-BD5F-84E388323AC2}">
  <dimension ref="A1:P289"/>
  <sheetViews>
    <sheetView tabSelected="1" topLeftCell="B133" workbookViewId="0">
      <selection activeCell="P2" sqref="P2"/>
    </sheetView>
  </sheetViews>
  <sheetFormatPr defaultRowHeight="14.4" x14ac:dyDescent="0.3"/>
  <cols>
    <col min="1" max="1" width="13.109375" bestFit="1" customWidth="1"/>
    <col min="2" max="2" width="7.88671875" bestFit="1" customWidth="1"/>
    <col min="3" max="3" width="11" style="2" bestFit="1" customWidth="1"/>
    <col min="4" max="4" width="7" bestFit="1" customWidth="1"/>
    <col min="5" max="9" width="12" bestFit="1" customWidth="1"/>
    <col min="10" max="10" width="24.77734375" bestFit="1" customWidth="1"/>
    <col min="13" max="13" width="12" bestFit="1" customWidth="1"/>
    <col min="14" max="14" width="10.33203125" bestFit="1" customWidth="1"/>
    <col min="15" max="15" width="34.6640625" bestFit="1" customWidth="1"/>
    <col min="16" max="16" width="12" bestFit="1" customWidth="1"/>
  </cols>
  <sheetData>
    <row r="1" spans="1:16" x14ac:dyDescent="0.3">
      <c r="A1" t="s">
        <v>8</v>
      </c>
      <c r="B1" t="s">
        <v>9</v>
      </c>
      <c r="C1" s="2" t="s">
        <v>10</v>
      </c>
      <c r="D1" t="s">
        <v>11</v>
      </c>
      <c r="E1" t="s">
        <v>385</v>
      </c>
      <c r="F1" t="s">
        <v>387</v>
      </c>
      <c r="G1" t="s">
        <v>391</v>
      </c>
      <c r="H1" t="s">
        <v>390</v>
      </c>
      <c r="I1" t="s">
        <v>392</v>
      </c>
      <c r="J1" t="s">
        <v>397</v>
      </c>
      <c r="K1" t="s">
        <v>393</v>
      </c>
      <c r="L1" t="s">
        <v>394</v>
      </c>
      <c r="M1" t="s">
        <v>395</v>
      </c>
      <c r="N1" t="s">
        <v>399</v>
      </c>
      <c r="O1" t="s">
        <v>400</v>
      </c>
    </row>
    <row r="2" spans="1:16" x14ac:dyDescent="0.3">
      <c r="A2" t="s">
        <v>12</v>
      </c>
      <c r="B2" t="s">
        <v>13</v>
      </c>
      <c r="C2" s="2">
        <v>1.007825</v>
      </c>
      <c r="D2">
        <v>99.99</v>
      </c>
      <c r="E2">
        <f>C2 * 'Reality Constants'!$B$2</f>
        <v>1.6735327871342989E-26</v>
      </c>
      <c r="F2">
        <f>E2 * ('Reality Constants'!$B$3 * 'Reality Constants'!$B$3)</f>
        <v>1.5040962592228114E-9</v>
      </c>
      <c r="G2">
        <f>F2 / 'Reality Constants'!$B$4</f>
        <v>938783045.08016634</v>
      </c>
      <c r="H2">
        <f>F2 / 'Reality Constants'!$B$5</f>
        <v>4.1780451645078096E-16</v>
      </c>
      <c r="I2">
        <v>1.1452696676804743E-16</v>
      </c>
      <c r="J2">
        <f>I2/C2</f>
        <v>1.1363775136362705E-16</v>
      </c>
      <c r="N2">
        <v>1.39</v>
      </c>
      <c r="O2" t="s">
        <v>401</v>
      </c>
      <c r="P2">
        <f>N2 / ((1000/C2) * 'Reality Constants'!$B$6)</f>
        <v>2.3262649452009297E-27</v>
      </c>
    </row>
    <row r="3" spans="1:16" x14ac:dyDescent="0.3">
      <c r="A3" t="s">
        <v>12</v>
      </c>
      <c r="B3" t="s">
        <v>14</v>
      </c>
      <c r="C3" s="2">
        <v>2.0141019999999998</v>
      </c>
      <c r="D3">
        <v>1.4999999999999999E-2</v>
      </c>
      <c r="E3">
        <f>C3 * 'Reality Constants'!$B$2</f>
        <v>3.3444950597899097E-26</v>
      </c>
      <c r="F3">
        <f>E3 * ('Reality Constants'!$B$3 * 'Reality Constants'!$B$3)</f>
        <v>3.0058822552458838E-9</v>
      </c>
      <c r="G3">
        <f>F3 / 'Reality Constants'!$B$4</f>
        <v>1876124137.2877765</v>
      </c>
      <c r="H3">
        <f>F3 / 'Reality Constants'!$B$5</f>
        <v>8.3496729312385658E-16</v>
      </c>
      <c r="I3">
        <f>H3*M3</f>
        <v>2.2887802229698398E-16</v>
      </c>
      <c r="J3">
        <f t="shared" ref="J3:J7" si="0">I3/C3</f>
        <v>1.1363775136362708E-16</v>
      </c>
      <c r="K3">
        <v>0.23549700000000001</v>
      </c>
      <c r="L3">
        <v>1.1639900000000001</v>
      </c>
      <c r="M3">
        <f>K3*L3</f>
        <v>0.27411615303000003</v>
      </c>
      <c r="N3">
        <v>13400</v>
      </c>
      <c r="O3" t="s">
        <v>402</v>
      </c>
      <c r="P3">
        <f>N3 / ((1000/C3) * 'Reality Constants'!$B$6)</f>
        <v>4.4817281301893063E-23</v>
      </c>
    </row>
    <row r="4" spans="1:16" x14ac:dyDescent="0.3">
      <c r="A4" t="s">
        <v>15</v>
      </c>
      <c r="B4" t="s">
        <v>16</v>
      </c>
      <c r="C4" s="2">
        <v>3.0160290000000001</v>
      </c>
      <c r="D4">
        <v>1E-4</v>
      </c>
      <c r="E4">
        <f>C4 * 'Reality Constants'!$B$2</f>
        <v>5.0082339874957191E-26</v>
      </c>
      <c r="F4">
        <f>E4 * ('Reality Constants'!$B$3 * 'Reality Constants'!$B$3)</f>
        <v>4.5011762325875197E-9</v>
      </c>
      <c r="G4">
        <f>F4 / 'Reality Constants'!$B$4</f>
        <v>2809413230.1442108</v>
      </c>
      <c r="H4">
        <f>F4 / 'Reality Constants'!$B$5</f>
        <v>1.2503267312743111E-15</v>
      </c>
      <c r="N4">
        <v>96000000</v>
      </c>
      <c r="O4" t="s">
        <v>403</v>
      </c>
      <c r="P4">
        <f>N4 / ((1000/C4) * 'Reality Constants'!$B$6)</f>
        <v>4.8080170043175033E-19</v>
      </c>
    </row>
    <row r="5" spans="1:16" x14ac:dyDescent="0.3">
      <c r="A5" t="s">
        <v>15</v>
      </c>
      <c r="B5" t="s">
        <v>17</v>
      </c>
      <c r="C5" s="2">
        <v>4.0026029999999997</v>
      </c>
      <c r="D5">
        <v>100</v>
      </c>
      <c r="E5">
        <f>C5 * 'Reality Constants'!$B$2</f>
        <v>6.6464786588763985E-26</v>
      </c>
      <c r="F5">
        <f>E5 * ('Reality Constants'!$B$3 * 'Reality Constants'!$B$3)</f>
        <v>5.9735571150289011E-9</v>
      </c>
      <c r="G5">
        <f>F5 / 'Reality Constants'!$B$4</f>
        <v>3728401094.0262537</v>
      </c>
      <c r="H5">
        <f>F5 / 'Reality Constants'!$B$5</f>
        <v>1.6593214208413614E-15</v>
      </c>
      <c r="N5">
        <v>40.39</v>
      </c>
      <c r="O5" t="s">
        <v>404</v>
      </c>
      <c r="P5">
        <f>N5 / ((1000/C5) * 'Reality Constants'!$B$6)</f>
        <v>2.6845754760876785E-25</v>
      </c>
    </row>
    <row r="6" spans="1:16" x14ac:dyDescent="0.3">
      <c r="A6" t="s">
        <v>18</v>
      </c>
      <c r="B6" t="s">
        <v>19</v>
      </c>
      <c r="C6" s="2">
        <v>6.015123</v>
      </c>
      <c r="D6">
        <v>7.42</v>
      </c>
      <c r="E6">
        <f>C6 * 'Reality Constants'!$B$2</f>
        <v>9.9883467458592777E-26</v>
      </c>
      <c r="F6">
        <f>E6 * ('Reality Constants'!$B$3 * 'Reality Constants'!$B$3)</f>
        <v>8.9770783648600657E-9</v>
      </c>
      <c r="G6">
        <f>F6 / 'Reality Constants'!$B$4</f>
        <v>5603051607.6419477</v>
      </c>
      <c r="H6">
        <f>F6 / 'Reality Constants'!$B$5</f>
        <v>2.4936328791277961E-15</v>
      </c>
      <c r="I6">
        <v>7.8395858380807874E-25</v>
      </c>
      <c r="J6">
        <f>I6/C6</f>
        <v>1.3033126401705814E-25</v>
      </c>
      <c r="N6">
        <v>85700</v>
      </c>
      <c r="O6" t="s">
        <v>405</v>
      </c>
      <c r="P6">
        <f>N6 / ((1000/C6) * 'Reality Constants'!$B$6)</f>
        <v>8.5602132364662902E-22</v>
      </c>
    </row>
    <row r="7" spans="1:16" x14ac:dyDescent="0.3">
      <c r="A7" t="s">
        <v>18</v>
      </c>
      <c r="B7" t="s">
        <v>20</v>
      </c>
      <c r="C7" s="2">
        <v>7.0160049999999998</v>
      </c>
      <c r="D7">
        <v>92.58</v>
      </c>
      <c r="E7">
        <f>C7 * 'Reality Constants'!$B$2</f>
        <v>1.1650350410238065E-25</v>
      </c>
      <c r="F7">
        <f>E7 * ('Reality Constants'!$B$3 * 'Reality Constants'!$B$3)</f>
        <v>1.0470812765300068E-8</v>
      </c>
      <c r="G7">
        <f>F7 / 'Reality Constants'!$B$4</f>
        <v>6535367289.159996</v>
      </c>
      <c r="H7">
        <f>F7 / 'Reality Constants'!$B$5</f>
        <v>2.9085591014722411E-15</v>
      </c>
      <c r="I7">
        <f>M7*L7</f>
        <v>9.1440479999999989E-25</v>
      </c>
      <c r="J7">
        <f t="shared" si="0"/>
        <v>1.3033126401705814E-25</v>
      </c>
      <c r="L7">
        <v>0.13919999999999999</v>
      </c>
      <c r="M7">
        <v>6.569E-24</v>
      </c>
      <c r="N7">
        <v>115.7</v>
      </c>
      <c r="O7" t="s">
        <v>406</v>
      </c>
      <c r="P7">
        <f>N7 / ((1000/C7) * 'Reality Constants'!$B$6)</f>
        <v>1.3479770483228163E-24</v>
      </c>
    </row>
    <row r="8" spans="1:16" x14ac:dyDescent="0.3">
      <c r="A8" t="s">
        <v>21</v>
      </c>
      <c r="B8" t="s">
        <v>22</v>
      </c>
      <c r="C8" s="2">
        <v>9.0121830000000003</v>
      </c>
      <c r="D8">
        <v>100</v>
      </c>
      <c r="E8">
        <f>C8 * 'Reality Constants'!$B$2</f>
        <v>1.4965081967756653E-25</v>
      </c>
      <c r="F8">
        <f>E8 * ('Reality Constants'!$B$3 * 'Reality Constants'!$B$3)</f>
        <v>1.3449944918742257E-8</v>
      </c>
      <c r="G8">
        <f>F8 / 'Reality Constants'!$B$4</f>
        <v>8394795326.1327209</v>
      </c>
      <c r="H8">
        <f>F8 / 'Reality Constants'!$B$5</f>
        <v>3.7360958107617384E-15</v>
      </c>
      <c r="I8">
        <f>M8*L8</f>
        <v>1.7394431999999997E-24</v>
      </c>
      <c r="J8">
        <f>I8/C8</f>
        <v>1.9301019519909878E-25</v>
      </c>
      <c r="L8">
        <v>0.13919999999999999</v>
      </c>
      <c r="M8">
        <v>1.2496E-23</v>
      </c>
      <c r="N8">
        <v>831.6</v>
      </c>
      <c r="O8" t="s">
        <v>406</v>
      </c>
      <c r="P8">
        <f>N8 / ((1000/C8) * 'Reality Constants'!$B$6)</f>
        <v>1.2445253043507142E-23</v>
      </c>
    </row>
    <row r="9" spans="1:16" x14ac:dyDescent="0.3">
      <c r="A9" t="s">
        <v>23</v>
      </c>
      <c r="B9" t="s">
        <v>24</v>
      </c>
      <c r="C9" s="2">
        <v>10.012938</v>
      </c>
      <c r="D9">
        <v>19.8</v>
      </c>
      <c r="E9">
        <f>C9 * 'Reality Constants'!$B$2</f>
        <v>1.6626874743673686E-25</v>
      </c>
      <c r="F9">
        <f>E9 * ('Reality Constants'!$B$3 * 'Reality Constants'!$B$3)</f>
        <v>1.4943489782085122E-8</v>
      </c>
      <c r="G9">
        <f>F9 / 'Reality Constants'!$B$4</f>
        <v>9326992707.8995972</v>
      </c>
      <c r="H9">
        <f>F9 / 'Reality Constants'!$B$5</f>
        <v>4.1509693839125337E-15</v>
      </c>
      <c r="I9">
        <v>1.3588499999999999E-26</v>
      </c>
      <c r="J9">
        <f>I9/C9</f>
        <v>1.3570941915349919E-27</v>
      </c>
      <c r="N9">
        <v>2386</v>
      </c>
      <c r="O9" t="s">
        <v>406</v>
      </c>
      <c r="P9">
        <f>N9 / ((1000/C9) * 'Reality Constants'!$B$6)</f>
        <v>3.9672650395217542E-23</v>
      </c>
    </row>
    <row r="10" spans="1:16" x14ac:dyDescent="0.3">
      <c r="A10" t="s">
        <v>23</v>
      </c>
      <c r="B10" t="s">
        <v>25</v>
      </c>
      <c r="C10" s="2">
        <v>11.009304999999999</v>
      </c>
      <c r="D10">
        <v>80.2</v>
      </c>
      <c r="E10">
        <f>C10 * 'Reality Constants'!$B$2</f>
        <v>1.8281381074156299E-25</v>
      </c>
      <c r="F10">
        <f>E10 * ('Reality Constants'!$B$3 * 'Reality Constants'!$B$3)</f>
        <v>1.6430485914859218E-8</v>
      </c>
      <c r="G10">
        <f>F10 / 'Reality Constants'!$B$4</f>
        <v>10255102693.539354</v>
      </c>
      <c r="H10">
        <f>F10 / 'Reality Constants'!$B$5</f>
        <v>4.5640238652386719E-15</v>
      </c>
      <c r="I10">
        <f>I9/(C9/C10)</f>
        <v>1.4940663868337142E-26</v>
      </c>
      <c r="J10">
        <f>I10/C10</f>
        <v>1.3570941915349919E-27</v>
      </c>
      <c r="N10">
        <v>2386</v>
      </c>
      <c r="O10" t="s">
        <v>406</v>
      </c>
      <c r="P10">
        <f>N10 / ((1000/C10) * 'Reality Constants'!$B$6)</f>
        <v>4.3620394769179678E-23</v>
      </c>
    </row>
    <row r="11" spans="1:16" x14ac:dyDescent="0.3">
      <c r="A11" t="s">
        <v>26</v>
      </c>
      <c r="B11" t="s">
        <v>27</v>
      </c>
      <c r="C11" s="2">
        <v>12</v>
      </c>
      <c r="D11">
        <v>98.9</v>
      </c>
      <c r="E11">
        <f>C11 * 'Reality Constants'!$B$2</f>
        <v>1.9926468827039999E-25</v>
      </c>
      <c r="F11">
        <f>E11 * ('Reality Constants'!$B$3 * 'Reality Constants'!$B$3)</f>
        <v>1.7909017052239957E-8</v>
      </c>
      <c r="G11">
        <f>F11 / 'Reality Constants'!$B$4</f>
        <v>11177929244.622822</v>
      </c>
      <c r="H11">
        <f>F11 / 'Reality Constants'!$B$5</f>
        <v>4.9747269589555435E-15</v>
      </c>
      <c r="I11">
        <v>2.4409999999999999E-27</v>
      </c>
      <c r="J11">
        <f>I11/C11</f>
        <v>2.0341666666666667E-28</v>
      </c>
      <c r="M11">
        <v>0.122363184</v>
      </c>
      <c r="N11">
        <v>24</v>
      </c>
      <c r="O11" t="s">
        <v>407</v>
      </c>
      <c r="P11">
        <f>N11 / ((1000/C11) * 'Reality Constants'!$B$6)</f>
        <v>4.7824642975755565E-25</v>
      </c>
    </row>
    <row r="12" spans="1:16" x14ac:dyDescent="0.3">
      <c r="A12" t="s">
        <v>26</v>
      </c>
      <c r="B12" t="s">
        <v>28</v>
      </c>
      <c r="C12" s="2">
        <v>13.003355000000001</v>
      </c>
      <c r="D12">
        <v>1.1000000000000001</v>
      </c>
      <c r="E12">
        <f>C12 * 'Reality Constants'!$B$2</f>
        <v>2.1592579004536227E-25</v>
      </c>
      <c r="F12">
        <f>E12 * ('Reality Constants'!$B$3 * 'Reality Constants'!$B$3)</f>
        <v>1.9406442202610811E-8</v>
      </c>
      <c r="G12">
        <f>F12 / 'Reality Constants'!$B$4</f>
        <v>12112548511.059368</v>
      </c>
      <c r="H12">
        <f>F12 / 'Reality Constants'!$B$5</f>
        <v>5.3906783896141142E-15</v>
      </c>
      <c r="I12">
        <f>I11/(C11/C12)</f>
        <v>2.6450991295833332E-27</v>
      </c>
      <c r="J12">
        <f>I12/C12</f>
        <v>2.0341666666666663E-28</v>
      </c>
      <c r="N12">
        <v>50000</v>
      </c>
      <c r="O12" t="s">
        <v>408</v>
      </c>
      <c r="P12">
        <f>N12 / ((1000/C12) * 'Reality Constants'!$B$6)</f>
        <v>1.0796541846562606E-21</v>
      </c>
    </row>
    <row r="13" spans="1:16" x14ac:dyDescent="0.3">
      <c r="A13" t="s">
        <v>29</v>
      </c>
      <c r="B13" t="s">
        <v>30</v>
      </c>
      <c r="C13" s="2">
        <v>14.003074</v>
      </c>
      <c r="D13">
        <v>99.63</v>
      </c>
      <c r="E13">
        <f>C13 * 'Reality Constants'!$B$2</f>
        <v>2.3252651461977862E-25</v>
      </c>
      <c r="F13">
        <f>E13 * ('Reality Constants'!$B$3 * 'Reality Constants'!$B$3)</f>
        <v>2.0898440920814835E-8</v>
      </c>
      <c r="G13">
        <f>F13 / 'Reality Constants'!$B$4</f>
        <v>13043780864.934792</v>
      </c>
      <c r="H13">
        <f>F13 / 'Reality Constants'!$B$5</f>
        <v>5.8051224780041207E-15</v>
      </c>
      <c r="N13">
        <v>2.77</v>
      </c>
      <c r="O13" t="s">
        <v>409</v>
      </c>
      <c r="P13">
        <f>N13 / ((1000/C13) * 'Reality Constants'!$B$6)</f>
        <v>6.4411350016605771E-26</v>
      </c>
    </row>
    <row r="14" spans="1:16" x14ac:dyDescent="0.3">
      <c r="A14" t="s">
        <v>29</v>
      </c>
      <c r="B14" t="s">
        <v>31</v>
      </c>
      <c r="C14" s="2">
        <v>15.000109</v>
      </c>
      <c r="D14">
        <v>0.37</v>
      </c>
      <c r="E14">
        <f>C14 * 'Reality Constants'!$B$2</f>
        <v>2.4908267032558512E-25</v>
      </c>
      <c r="F14">
        <f>E14 * ('Reality Constants'!$B$3 * 'Reality Constants'!$B$3)</f>
        <v>2.2386433988871508E-8</v>
      </c>
      <c r="G14">
        <f>F14 / 'Reality Constants'!$B$4</f>
        <v>13972513088.635836</v>
      </c>
      <c r="H14">
        <f>F14 / 'Reality Constants'!$B$5</f>
        <v>6.2184538857976409E-15</v>
      </c>
      <c r="N14">
        <v>15000</v>
      </c>
      <c r="O14" t="s">
        <v>410</v>
      </c>
      <c r="P14">
        <f>N14 / ((1000/C14) * 'Reality Constants'!$B$6)</f>
        <v>3.7363273829292599E-22</v>
      </c>
    </row>
    <row r="15" spans="1:16" x14ac:dyDescent="0.3">
      <c r="A15" t="s">
        <v>32</v>
      </c>
      <c r="B15" t="s">
        <v>33</v>
      </c>
      <c r="C15" s="2">
        <v>15.994915000000001</v>
      </c>
      <c r="D15">
        <v>99.76</v>
      </c>
      <c r="E15">
        <f>C15 * 'Reality Constants'!$B$2</f>
        <v>2.6560181261554544E-25</v>
      </c>
      <c r="F15">
        <f>E15 * ('Reality Constants'!$B$3 * 'Reality Constants'!$B$3)</f>
        <v>2.3871100457010728E-8</v>
      </c>
      <c r="G15">
        <f>F15 / 'Reality Constants'!$B$4</f>
        <v>14899169011.979691</v>
      </c>
      <c r="H15">
        <f>F15 / 'Reality Constants'!$B$5</f>
        <v>6.6308612380585356E-15</v>
      </c>
      <c r="N15">
        <v>0.64</v>
      </c>
      <c r="O15" t="s">
        <v>409</v>
      </c>
      <c r="P15">
        <f>N15 / ((1000/C15) * 'Reality Constants'!$B$6)</f>
        <v>1.6998913317834609E-26</v>
      </c>
    </row>
    <row r="16" spans="1:16" x14ac:dyDescent="0.3">
      <c r="A16" t="s">
        <v>32</v>
      </c>
      <c r="B16" t="s">
        <v>34</v>
      </c>
      <c r="C16" s="2">
        <v>16.999130999999998</v>
      </c>
      <c r="D16">
        <v>3.7999999999999999E-2</v>
      </c>
      <c r="E16">
        <f>C16 * 'Reality Constants'!$B$2</f>
        <v>2.8227721163189104E-25</v>
      </c>
      <c r="F16">
        <f>E16 * ('Reality Constants'!$B$3 * 'Reality Constants'!$B$3)</f>
        <v>2.5369810579355071E-8</v>
      </c>
      <c r="G16">
        <f>F16 / 'Reality Constants'!$B$4</f>
        <v>15834590294.839533</v>
      </c>
      <c r="H16">
        <f>F16 / 'Reality Constants'!$B$5</f>
        <v>7.0471696053764087E-15</v>
      </c>
    </row>
    <row r="17" spans="1:16" x14ac:dyDescent="0.3">
      <c r="A17" t="s">
        <v>32</v>
      </c>
      <c r="B17" t="s">
        <v>35</v>
      </c>
      <c r="C17" s="2">
        <v>17.999158999999999</v>
      </c>
      <c r="D17">
        <v>0.2</v>
      </c>
      <c r="E17">
        <f>C17 * 'Reality Constants'!$B$2</f>
        <v>2.9888306727203039E-25</v>
      </c>
      <c r="F17">
        <f>E17 * ('Reality Constants'!$B$3 * 'Reality Constants'!$B$3)</f>
        <v>2.6862270454748196E-8</v>
      </c>
      <c r="G17">
        <f>F17 / 'Reality Constants'!$B$4</f>
        <v>16766110480.393009</v>
      </c>
      <c r="H17">
        <f>F17 / 'Reality Constants'!$B$5</f>
        <v>7.4617417929856107E-15</v>
      </c>
      <c r="N17">
        <v>300000</v>
      </c>
      <c r="O17" t="s">
        <v>408</v>
      </c>
      <c r="P17">
        <f>N17 / ((1000/C17) * 'Reality Constants'!$B$6)</f>
        <v>8.9667015941547662E-21</v>
      </c>
    </row>
    <row r="18" spans="1:16" x14ac:dyDescent="0.3">
      <c r="A18" t="s">
        <v>36</v>
      </c>
      <c r="B18" t="s">
        <v>37</v>
      </c>
      <c r="C18" s="2">
        <v>18.998403</v>
      </c>
      <c r="D18">
        <v>100</v>
      </c>
      <c r="E18">
        <f>C18 * 'Reality Constants'!$B$2</f>
        <v>3.1547590428586937E-25</v>
      </c>
      <c r="F18">
        <f>E18 * ('Reality Constants'!$B$3 * 'Reality Constants'!$B$3)</f>
        <v>2.8353560274360568E-8</v>
      </c>
      <c r="G18">
        <f>F18 / 'Reality Constants'!$B$4</f>
        <v>17696900374.569164</v>
      </c>
      <c r="H18">
        <f>F18 / 'Reality Constants'!$B$5</f>
        <v>7.8759889651001575E-15</v>
      </c>
      <c r="N18">
        <v>1900</v>
      </c>
      <c r="O18" t="s">
        <v>411</v>
      </c>
      <c r="P18">
        <f>N18 / ((1000/C18) * 'Reality Constants'!$B$6)</f>
        <v>5.9941822816340092E-23</v>
      </c>
    </row>
    <row r="19" spans="1:16" x14ac:dyDescent="0.3">
      <c r="A19" t="s">
        <v>38</v>
      </c>
      <c r="B19" t="s">
        <v>39</v>
      </c>
      <c r="C19" s="2">
        <v>19.992439000000001</v>
      </c>
      <c r="D19">
        <v>90.6</v>
      </c>
      <c r="E19">
        <f>C19 * 'Reality Constants'!$B$2</f>
        <v>3.3198226042499897E-25</v>
      </c>
      <c r="F19">
        <f>E19 * ('Reality Constants'!$B$3 * 'Reality Constants'!$B$3)</f>
        <v>2.983707758057227E-8</v>
      </c>
      <c r="G19">
        <f>F19 / 'Reality Constants'!$B$4</f>
        <v>18622839047.453159</v>
      </c>
      <c r="H19">
        <f>F19 / 'Reality Constants'!$B$5</f>
        <v>8.2880771057145188E-15</v>
      </c>
      <c r="N19">
        <v>629.9</v>
      </c>
      <c r="O19" t="s">
        <v>412</v>
      </c>
      <c r="P19">
        <f>N19 / ((1000/C19) * 'Reality Constants'!$B$6)</f>
        <v>2.0912051355197611E-23</v>
      </c>
    </row>
    <row r="20" spans="1:16" x14ac:dyDescent="0.3">
      <c r="A20" t="s">
        <v>38</v>
      </c>
      <c r="B20" t="s">
        <v>40</v>
      </c>
      <c r="C20" s="2">
        <v>20.993845</v>
      </c>
      <c r="D20">
        <v>0.26</v>
      </c>
      <c r="E20">
        <f>C20 * 'Reality Constants'!$B$2</f>
        <v>3.48610998293508E-25</v>
      </c>
      <c r="F20">
        <f>E20 * ('Reality Constants'!$B$3 * 'Reality Constants'!$B$3)</f>
        <v>3.1331594008090219E-8</v>
      </c>
      <c r="G20">
        <f>F20 / 'Reality Constants'!$B$4</f>
        <v>19555642831.881554</v>
      </c>
      <c r="H20">
        <f>F20 / 'Reality Constants'!$B$5</f>
        <v>8.7032205578028387E-15</v>
      </c>
    </row>
    <row r="21" spans="1:16" x14ac:dyDescent="0.3">
      <c r="A21" t="s">
        <v>38</v>
      </c>
      <c r="B21" t="s">
        <v>41</v>
      </c>
      <c r="C21" s="2">
        <v>21.991384</v>
      </c>
      <c r="D21">
        <v>9.1999999999999993</v>
      </c>
      <c r="E21">
        <f>C21 * 'Reality Constants'!$B$2</f>
        <v>3.6517552311622183E-25</v>
      </c>
      <c r="F21">
        <f>E21 * ('Reality Constants'!$B$3 * 'Reality Constants'!$B$3)</f>
        <v>3.2820339254863079E-8</v>
      </c>
      <c r="G21">
        <f>F21 / 'Reality Constants'!$B$4</f>
        <v>20484844528.610867</v>
      </c>
      <c r="H21">
        <f>F21 / 'Reality Constants'!$B$5</f>
        <v>9.1167609041286338E-15</v>
      </c>
    </row>
    <row r="22" spans="1:16" x14ac:dyDescent="0.3">
      <c r="A22" t="s">
        <v>42</v>
      </c>
      <c r="B22" t="s">
        <v>43</v>
      </c>
      <c r="C22" s="2">
        <v>22.98977</v>
      </c>
      <c r="D22">
        <v>100</v>
      </c>
      <c r="E22">
        <f>C22 * 'Reality Constants'!$B$2</f>
        <v>3.8175411270484949E-25</v>
      </c>
      <c r="F22">
        <f>E22 * ('Reality Constants'!$B$3 * 'Reality Constants'!$B$3)</f>
        <v>3.431034857975622E-8</v>
      </c>
      <c r="G22">
        <f>F22 / 'Reality Constants'!$B$4</f>
        <v>21414835200.846035</v>
      </c>
      <c r="H22">
        <f>F22 / 'Reality Constants'!$B$5</f>
        <v>9.5306523832656167E-15</v>
      </c>
      <c r="N22">
        <v>3.04</v>
      </c>
      <c r="O22" t="s">
        <v>406</v>
      </c>
      <c r="P22">
        <f>N22 / ((1000/C22) * 'Reality Constants'!$B$6)</f>
        <v>1.1605596280305548E-25</v>
      </c>
    </row>
    <row r="23" spans="1:16" x14ac:dyDescent="0.3">
      <c r="A23" t="s">
        <v>44</v>
      </c>
      <c r="B23" t="s">
        <v>45</v>
      </c>
      <c r="C23" s="2">
        <v>23.985045</v>
      </c>
      <c r="D23">
        <v>78.900000000000006</v>
      </c>
      <c r="E23">
        <f>C23 * 'Reality Constants'!$B$2</f>
        <v>3.9828104292304303E-25</v>
      </c>
      <c r="F23">
        <f>E23 * ('Reality Constants'!$B$3 * 'Reality Constants'!$B$3)</f>
        <v>3.5795714991978568E-8</v>
      </c>
      <c r="G23">
        <f>F23 / 'Reality Constants'!$B$4</f>
        <v>22341927994.924538</v>
      </c>
      <c r="H23">
        <f>F23 / 'Reality Constants'!$B$5</f>
        <v>9.943254164438492E-15</v>
      </c>
      <c r="N23">
        <v>2.2599999999999998</v>
      </c>
      <c r="O23" t="s">
        <v>413</v>
      </c>
      <c r="P23">
        <f>N23 / ((1000/C23) * 'Reality Constants'!$B$6)</f>
        <v>9.0013619561607432E-26</v>
      </c>
    </row>
    <row r="24" spans="1:16" x14ac:dyDescent="0.3">
      <c r="A24" t="s">
        <v>44</v>
      </c>
      <c r="B24" t="s">
        <v>46</v>
      </c>
      <c r="C24" s="2">
        <v>24.985838999999999</v>
      </c>
      <c r="D24">
        <v>10</v>
      </c>
      <c r="E24">
        <f>C24 * 'Reality Constants'!$B$2</f>
        <v>4.1489961829245018E-25</v>
      </c>
      <c r="F24">
        <f>E24 * ('Reality Constants'!$B$3 * 'Reality Constants'!$B$3)</f>
        <v>3.7289318059626844E-8</v>
      </c>
      <c r="G24">
        <f>F24 / 'Reality Constants'!$B$4</f>
        <v>23274161704.961452</v>
      </c>
      <c r="H24">
        <f>F24 / 'Reality Constants'!$B$5</f>
        <v>1.0358143905451901E-14</v>
      </c>
      <c r="N24">
        <v>2.2599999999999998</v>
      </c>
      <c r="O24" t="s">
        <v>413</v>
      </c>
      <c r="P24">
        <f>N24 / ((1000/C24) * 'Reality Constants'!$B$6)</f>
        <v>9.3769505380272341E-26</v>
      </c>
    </row>
    <row r="25" spans="1:16" x14ac:dyDescent="0.3">
      <c r="A25" t="s">
        <v>44</v>
      </c>
      <c r="B25" t="s">
        <v>47</v>
      </c>
      <c r="C25" s="2">
        <v>25.982595</v>
      </c>
      <c r="D25">
        <v>11.1</v>
      </c>
      <c r="E25">
        <f>C25 * 'Reality Constants'!$B$2</f>
        <v>4.3145114109425446E-25</v>
      </c>
      <c r="F25">
        <f>E25 * ('Reality Constants'!$B$3 * 'Reality Constants'!$B$3)</f>
        <v>3.8776894743037057E-8</v>
      </c>
      <c r="G25">
        <f>F25 / 'Reality Constants'!$B$4</f>
        <v>24202634041.80756</v>
      </c>
      <c r="H25">
        <f>F25 / 'Reality Constants'!$B$5</f>
        <v>1.0771359650843628E-14</v>
      </c>
      <c r="N25">
        <v>2.2599999999999998</v>
      </c>
      <c r="O25" t="s">
        <v>413</v>
      </c>
      <c r="P25">
        <f>N25 / ((1000/C25) * 'Reality Constants'!$B$6)</f>
        <v>9.7510236964463641E-26</v>
      </c>
    </row>
    <row r="26" spans="1:16" x14ac:dyDescent="0.3">
      <c r="A26" t="s">
        <v>48</v>
      </c>
      <c r="B26" t="s">
        <v>49</v>
      </c>
      <c r="C26" s="2">
        <v>26.981541</v>
      </c>
      <c r="D26">
        <v>100</v>
      </c>
      <c r="E26">
        <f>C26 * 'Reality Constants'!$B$2</f>
        <v>4.4803902970166804E-25</v>
      </c>
      <c r="F26">
        <f>E26 * ('Reality Constants'!$B$3 * 'Reality Constants'!$B$3)</f>
        <v>4.0267739822059299E-8</v>
      </c>
      <c r="G26">
        <f>F26 / 'Reality Constants'!$B$4</f>
        <v>25133146350.74081</v>
      </c>
      <c r="H26">
        <f>F26 / 'Reality Constants'!$B$5</f>
        <v>1.1185483283905361E-14</v>
      </c>
      <c r="N26">
        <v>1.91</v>
      </c>
      <c r="O26" t="s">
        <v>414</v>
      </c>
      <c r="P26">
        <f>N26 / ((1000/C26) * 'Reality Constants'!$B$6)</f>
        <v>8.5577454848887428E-26</v>
      </c>
    </row>
    <row r="27" spans="1:16" x14ac:dyDescent="0.3">
      <c r="A27" t="s">
        <v>50</v>
      </c>
      <c r="B27" t="s">
        <v>51</v>
      </c>
      <c r="C27" s="2">
        <v>27.976928000000001</v>
      </c>
      <c r="D27">
        <v>92.23</v>
      </c>
      <c r="E27">
        <f>C27 * 'Reality Constants'!$B$2</f>
        <v>4.645678197236188E-25</v>
      </c>
      <c r="F27">
        <f>E27 * ('Reality Constants'!$B$3 * 'Reality Constants'!$B$3)</f>
        <v>4.1753273385107468E-8</v>
      </c>
      <c r="G27">
        <f>F27 / 'Reality Constants'!$B$4</f>
        <v>26060343472.158928</v>
      </c>
      <c r="H27">
        <f>F27 / 'Reality Constants'!$B$5</f>
        <v>1.1598131495863186E-14</v>
      </c>
      <c r="N27">
        <v>1.91</v>
      </c>
      <c r="O27" t="s">
        <v>415</v>
      </c>
      <c r="P27">
        <f>N27 / ((1000/C27) * 'Reality Constants'!$B$6)</f>
        <v>8.8734527532381268E-26</v>
      </c>
    </row>
    <row r="28" spans="1:16" x14ac:dyDescent="0.3">
      <c r="A28" t="s">
        <v>50</v>
      </c>
      <c r="B28" t="s">
        <v>52</v>
      </c>
      <c r="C28" s="2">
        <v>28.976496000000001</v>
      </c>
      <c r="D28">
        <v>4.67</v>
      </c>
      <c r="E28">
        <f>C28 * 'Reality Constants'!$B$2</f>
        <v>4.8116603688404104E-25</v>
      </c>
      <c r="F28">
        <f>E28 * ('Reality Constants'!$B$3 * 'Reality Constants'!$B$3)</f>
        <v>4.3245046748180248E-8</v>
      </c>
      <c r="G28">
        <f>F28 / 'Reality Constants'!$B$4</f>
        <v>26991435170.42469</v>
      </c>
      <c r="H28">
        <f>F28 / 'Reality Constants'!$B$5</f>
        <v>1.2012512985605625E-14</v>
      </c>
      <c r="N28">
        <v>1.91</v>
      </c>
      <c r="O28" t="s">
        <v>415</v>
      </c>
      <c r="P28">
        <f>N28 / ((1000/C28) * 'Reality Constants'!$B$6)</f>
        <v>9.1904861109266035E-26</v>
      </c>
    </row>
    <row r="29" spans="1:16" x14ac:dyDescent="0.3">
      <c r="A29" t="s">
        <v>50</v>
      </c>
      <c r="B29" t="s">
        <v>53</v>
      </c>
      <c r="C29" s="2">
        <v>29.973772</v>
      </c>
      <c r="D29">
        <v>3.1</v>
      </c>
      <c r="E29">
        <f>C29 * 'Reality Constants'!$B$2</f>
        <v>4.9772619448900368E-25</v>
      </c>
      <c r="F29">
        <f>E29 * ('Reality Constants'!$B$3 * 'Reality Constants'!$B$3)</f>
        <v>4.4733399488996057E-8</v>
      </c>
      <c r="G29">
        <f>F29 / 'Reality Constants'!$B$4</f>
        <v>27920391884.204731</v>
      </c>
      <c r="H29">
        <f>F29 / 'Reality Constants'!$B$5</f>
        <v>1.2425944302498905E-14</v>
      </c>
      <c r="N29">
        <v>1.91</v>
      </c>
      <c r="O29" t="s">
        <v>415</v>
      </c>
      <c r="P29">
        <f>N29 / ((1000/C29) * 'Reality Constants'!$B$6)</f>
        <v>9.5067925141149123E-26</v>
      </c>
    </row>
    <row r="30" spans="1:16" x14ac:dyDescent="0.3">
      <c r="A30" t="s">
        <v>54</v>
      </c>
      <c r="B30" t="s">
        <v>55</v>
      </c>
      <c r="C30" s="2">
        <v>30.973763000000002</v>
      </c>
      <c r="D30">
        <v>100</v>
      </c>
      <c r="E30">
        <f>C30 * 'Reality Constants'!$B$2</f>
        <v>5.1433143572968748E-25</v>
      </c>
      <c r="F30">
        <f>E30 * ('Reality Constants'!$B$3 * 'Reality Constants'!$B$3)</f>
        <v>4.6225804144919929E-8</v>
      </c>
      <c r="G30">
        <f>F30 / 'Reality Constants'!$B$4</f>
        <v>28851877604.476364</v>
      </c>
      <c r="H30">
        <f>F30 / 'Reality Constants'!$B$5</f>
        <v>1.2840501151366646E-14</v>
      </c>
      <c r="N30">
        <v>300</v>
      </c>
      <c r="O30" t="s">
        <v>411</v>
      </c>
      <c r="P30">
        <f>N30 / ((1000/C30) * 'Reality Constants'!$B$6)</f>
        <v>1.5430303719694458E-23</v>
      </c>
    </row>
    <row r="31" spans="1:16" x14ac:dyDescent="0.3">
      <c r="A31" t="s">
        <v>56</v>
      </c>
      <c r="B31" t="s">
        <v>57</v>
      </c>
      <c r="C31" s="2">
        <v>31.972072000000001</v>
      </c>
      <c r="D31">
        <v>95.02</v>
      </c>
      <c r="E31">
        <f>C31 * 'Reality Constants'!$B$2</f>
        <v>5.3090874670323203E-25</v>
      </c>
      <c r="F31">
        <f>E31 * ('Reality Constants'!$B$3 * 'Reality Constants'!$B$3)</f>
        <v>4.7715698553620316E-8</v>
      </c>
      <c r="G31">
        <f>F31 / 'Reality Constants'!$B$4</f>
        <v>29781796551.665546</v>
      </c>
      <c r="H31">
        <f>F31 / 'Reality Constants'!$B$5</f>
        <v>1.3254360709338977E-14</v>
      </c>
      <c r="N31">
        <v>0.1</v>
      </c>
      <c r="O31" t="s">
        <v>404</v>
      </c>
      <c r="P31">
        <f>N31 / ((1000/C31) * 'Reality Constants'!$B$6)</f>
        <v>5.3092115576220533E-27</v>
      </c>
    </row>
    <row r="32" spans="1:16" x14ac:dyDescent="0.3">
      <c r="A32" t="s">
        <v>56</v>
      </c>
      <c r="B32" t="s">
        <v>58</v>
      </c>
      <c r="C32" s="2">
        <v>32.971459000000003</v>
      </c>
      <c r="D32">
        <v>0.75</v>
      </c>
      <c r="E32">
        <f>C32 * 'Reality Constants'!$B$2</f>
        <v>5.4750395828793958E-25</v>
      </c>
      <c r="F32">
        <f>E32 * ('Reality Constants'!$B$3 * 'Reality Constants'!$B$3)</f>
        <v>4.9207201789019224E-8</v>
      </c>
      <c r="G32">
        <f>F32 / 'Reality Constants'!$B$4</f>
        <v>30712719649.498531</v>
      </c>
      <c r="H32">
        <f>F32 / 'Reality Constants'!$B$5</f>
        <v>1.3668667163616451E-14</v>
      </c>
      <c r="N32">
        <v>0.1</v>
      </c>
      <c r="O32" t="s">
        <v>404</v>
      </c>
      <c r="P32">
        <f>N32 / ((1000/C32) * 'Reality Constants'!$B$6)</f>
        <v>5.4751675523082045E-27</v>
      </c>
    </row>
    <row r="33" spans="1:16" x14ac:dyDescent="0.3">
      <c r="A33" t="s">
        <v>56</v>
      </c>
      <c r="B33" t="s">
        <v>59</v>
      </c>
      <c r="C33" s="2">
        <v>33.967868000000003</v>
      </c>
      <c r="D33">
        <v>4.21</v>
      </c>
      <c r="E33">
        <f>C33 * 'Reality Constants'!$B$2</f>
        <v>5.6404971901917465E-25</v>
      </c>
      <c r="F33">
        <f>E33 * ('Reality Constants'!$B$3 * 'Reality Constants'!$B$3)</f>
        <v>5.0694260603353004E-8</v>
      </c>
      <c r="G33">
        <f>F33 / 'Reality Constants'!$B$4</f>
        <v>31640868757.890648</v>
      </c>
      <c r="H33">
        <f>F33 / 'Reality Constants'!$B$5</f>
        <v>1.4081739056486946E-14</v>
      </c>
      <c r="N33">
        <v>0.1</v>
      </c>
      <c r="O33" t="s">
        <v>404</v>
      </c>
      <c r="P33">
        <f>N33 / ((1000/C33) * 'Reality Constants'!$B$6)</f>
        <v>5.6406290269013626E-27</v>
      </c>
    </row>
    <row r="34" spans="1:16" x14ac:dyDescent="0.3">
      <c r="A34" t="s">
        <v>60</v>
      </c>
      <c r="B34" t="s">
        <v>61</v>
      </c>
      <c r="C34" s="2">
        <v>34.968853000000003</v>
      </c>
      <c r="D34">
        <v>75.77</v>
      </c>
      <c r="E34">
        <f>C34 * 'Reality Constants'!$B$2</f>
        <v>5.8067146601820356E-25</v>
      </c>
      <c r="F34">
        <f>E34 * ('Reality Constants'!$B$3 * 'Reality Constants'!$B$3)</f>
        <v>5.2188148722856043E-8</v>
      </c>
      <c r="G34">
        <f>F34 / 'Reality Constants'!$B$4</f>
        <v>32573280383.301384</v>
      </c>
      <c r="H34">
        <f>F34 / 'Reality Constants'!$B$5</f>
        <v>1.4496707978571124E-14</v>
      </c>
      <c r="N34">
        <v>1.5</v>
      </c>
      <c r="O34" t="s">
        <v>411</v>
      </c>
      <c r="P34">
        <f>N34 / ((1000/C34) * 'Reality Constants'!$B$6)</f>
        <v>8.7102755728993699E-26</v>
      </c>
    </row>
    <row r="35" spans="1:16" x14ac:dyDescent="0.3">
      <c r="A35" t="s">
        <v>56</v>
      </c>
      <c r="B35" t="s">
        <v>62</v>
      </c>
      <c r="C35" s="2">
        <v>35.967078999999998</v>
      </c>
      <c r="D35">
        <v>0.02</v>
      </c>
      <c r="E35">
        <f>C35 * 'Reality Constants'!$B$2</f>
        <v>5.9724739874432085E-25</v>
      </c>
      <c r="F35">
        <f>E35 * ('Reality Constants'!$B$3 * 'Reality Constants'!$B$3)</f>
        <v>5.3677919260855148E-8</v>
      </c>
      <c r="G35">
        <f>F35 / 'Reality Constants'!$B$4</f>
        <v>33503122016.479954</v>
      </c>
      <c r="H35">
        <f>F35 / 'Reality Constants'!$B$5</f>
        <v>1.4910533128015317E-14</v>
      </c>
      <c r="N35">
        <v>0.1</v>
      </c>
      <c r="O35" t="s">
        <v>404</v>
      </c>
      <c r="P35">
        <f>N35 / ((1000/C35) * 'Reality Constants'!$B$6)</f>
        <v>5.9726135835270676E-27</v>
      </c>
    </row>
    <row r="36" spans="1:16" x14ac:dyDescent="0.3">
      <c r="A36" t="s">
        <v>63</v>
      </c>
      <c r="B36" t="s">
        <v>64</v>
      </c>
      <c r="C36" s="2">
        <v>35.967545999999999</v>
      </c>
      <c r="D36">
        <v>0.34</v>
      </c>
      <c r="E36">
        <f>C36 * 'Reality Constants'!$B$2</f>
        <v>5.9725515346177269E-25</v>
      </c>
      <c r="F36">
        <f>E36 * ('Reality Constants'!$B$3 * 'Reality Constants'!$B$3)</f>
        <v>5.3678616220102091E-8</v>
      </c>
      <c r="G36">
        <f>F36 / 'Reality Constants'!$B$4</f>
        <v>33503557024.226387</v>
      </c>
      <c r="H36">
        <f>F36 / 'Reality Constants'!$B$5</f>
        <v>1.4910726727806137E-14</v>
      </c>
      <c r="N36">
        <v>2.56</v>
      </c>
      <c r="O36" t="s">
        <v>409</v>
      </c>
      <c r="P36">
        <f>N36 / ((1000/C36) * 'Reality Constants'!$B$6)</f>
        <v>1.5290089299236137E-25</v>
      </c>
    </row>
    <row r="37" spans="1:16" x14ac:dyDescent="0.3">
      <c r="A37" t="s">
        <v>60</v>
      </c>
      <c r="B37" t="s">
        <v>65</v>
      </c>
      <c r="C37" s="2">
        <v>36.965902999999997</v>
      </c>
      <c r="D37">
        <v>24.23</v>
      </c>
      <c r="E37">
        <f>C37 * 'Reality Constants'!$B$2</f>
        <v>6.1383326149407029E-25</v>
      </c>
      <c r="F37">
        <f>E37 * ('Reality Constants'!$B$3 * 'Reality Constants'!$B$3)</f>
        <v>5.5168582264870685E-8</v>
      </c>
      <c r="G37">
        <f>F37 / 'Reality Constants'!$B$4</f>
        <v>34433520683.132545</v>
      </c>
      <c r="H37">
        <f>F37 / 'Reality Constants'!$B$5</f>
        <v>1.5324606184686303E-14</v>
      </c>
      <c r="N37">
        <v>1.5</v>
      </c>
      <c r="O37" t="s">
        <v>411</v>
      </c>
      <c r="P37">
        <f>N37 / ((1000/C37) * 'Reality Constants'!$B$6)</f>
        <v>9.2077141315177682E-26</v>
      </c>
    </row>
    <row r="38" spans="1:16" x14ac:dyDescent="0.3">
      <c r="A38" t="s">
        <v>63</v>
      </c>
      <c r="B38" t="s">
        <v>66</v>
      </c>
      <c r="C38" s="2">
        <v>37.962732000000003</v>
      </c>
      <c r="D38">
        <v>6.3E-2</v>
      </c>
      <c r="E38">
        <f>C38 * 'Reality Constants'!$B$2</f>
        <v>6.3038599648939495E-25</v>
      </c>
      <c r="F38">
        <f>E38 * ('Reality Constants'!$B$3 * 'Reality Constants'!$B$3)</f>
        <v>5.6656267894801301E-8</v>
      </c>
      <c r="G38">
        <f>F38 / 'Reality Constants'!$B$4</f>
        <v>35362061019.048225</v>
      </c>
      <c r="H38">
        <f>F38 / 'Reality Constants'!$B$5</f>
        <v>1.5737852193000361E-14</v>
      </c>
      <c r="N38">
        <v>2.56</v>
      </c>
      <c r="O38" t="s">
        <v>409</v>
      </c>
      <c r="P38">
        <f>N38 / ((1000/C38) * 'Reality Constants'!$B$6)</f>
        <v>1.6138258704749254E-25</v>
      </c>
    </row>
    <row r="39" spans="1:16" x14ac:dyDescent="0.3">
      <c r="A39" t="s">
        <v>67</v>
      </c>
      <c r="B39" t="s">
        <v>68</v>
      </c>
      <c r="C39" s="2">
        <v>38.963707999999997</v>
      </c>
      <c r="D39">
        <v>93.2</v>
      </c>
      <c r="E39">
        <f>C39 * 'Reality Constants'!$B$2</f>
        <v>6.4700759403990751E-25</v>
      </c>
      <c r="F39">
        <f>E39 * ('Reality Constants'!$B$3 * 'Reality Constants'!$B$3)</f>
        <v>5.8150142582541543E-8</v>
      </c>
      <c r="G39">
        <f>F39 / 'Reality Constants'!$B$4</f>
        <v>36294464261.012024</v>
      </c>
      <c r="H39">
        <f>F39 / 'Reality Constants'!$B$5</f>
        <v>1.6152817384039318E-14</v>
      </c>
      <c r="N39">
        <v>13.02</v>
      </c>
      <c r="O39" t="s">
        <v>406</v>
      </c>
      <c r="P39">
        <f>N39 / ((1000/C39) * 'Reality Constants'!$B$6)</f>
        <v>8.4242357715044834E-25</v>
      </c>
    </row>
    <row r="40" spans="1:16" x14ac:dyDescent="0.3">
      <c r="A40" t="s">
        <v>63</v>
      </c>
      <c r="B40" t="s">
        <v>69</v>
      </c>
      <c r="C40" s="2">
        <v>39.962383000000003</v>
      </c>
      <c r="D40">
        <v>99.6</v>
      </c>
      <c r="E40">
        <f>C40 * 'Reality Constants'!$B$2</f>
        <v>6.6359098258644441E-25</v>
      </c>
      <c r="F40">
        <f>E40 * ('Reality Constants'!$B$3 * 'Reality Constants'!$B$3)</f>
        <v>5.9640583216262024E-8</v>
      </c>
      <c r="G40">
        <f>F40 / 'Reality Constants'!$B$4</f>
        <v>37224724135.043167</v>
      </c>
      <c r="H40">
        <f>F40 / 'Reality Constants'!$B$5</f>
        <v>1.6566828671183895E-14</v>
      </c>
      <c r="N40">
        <v>2.56</v>
      </c>
      <c r="O40" t="s">
        <v>409</v>
      </c>
      <c r="P40">
        <f>N40 / ((1000/C40) * 'Reality Constants'!$B$6)</f>
        <v>1.6988326217203592E-25</v>
      </c>
    </row>
    <row r="41" spans="1:16" x14ac:dyDescent="0.3">
      <c r="A41" t="s">
        <v>70</v>
      </c>
      <c r="B41" t="s">
        <v>71</v>
      </c>
      <c r="C41" s="2">
        <v>39.962591000000003</v>
      </c>
      <c r="D41">
        <v>96.95</v>
      </c>
      <c r="E41">
        <f>C41 * 'Reality Constants'!$B$2</f>
        <v>6.6359443650770777E-25</v>
      </c>
      <c r="F41">
        <f>E41 * ('Reality Constants'!$B$3 * 'Reality Constants'!$B$3)</f>
        <v>5.964089363922426E-8</v>
      </c>
      <c r="G41">
        <f>F41 / 'Reality Constants'!$B$4</f>
        <v>37224917885.816734</v>
      </c>
      <c r="H41">
        <f>F41 / 'Reality Constants'!$B$5</f>
        <v>1.6566914899784517E-14</v>
      </c>
      <c r="N41">
        <v>5.93</v>
      </c>
      <c r="O41" t="s">
        <v>406</v>
      </c>
      <c r="P41">
        <f>N41 / ((1000/C41) * 'Reality Constants'!$B$6)</f>
        <v>3.9352069848887413E-25</v>
      </c>
    </row>
    <row r="42" spans="1:16" x14ac:dyDescent="0.3">
      <c r="A42" t="s">
        <v>67</v>
      </c>
      <c r="B42" t="s">
        <v>72</v>
      </c>
      <c r="C42" s="2">
        <v>39.963999000000001</v>
      </c>
      <c r="D42">
        <v>1.2E-2</v>
      </c>
      <c r="E42">
        <f>C42 * 'Reality Constants'!$B$2</f>
        <v>6.6361781689779809E-25</v>
      </c>
      <c r="F42">
        <f>E42 * ('Reality Constants'!$B$3 * 'Reality Constants'!$B$3)</f>
        <v>5.9642994963891722E-8</v>
      </c>
      <c r="G42">
        <f>F42 / 'Reality Constants'!$B$4</f>
        <v>37226229429.514771</v>
      </c>
      <c r="H42">
        <f>F42 / 'Reality Constants'!$B$5</f>
        <v>1.6567498601081034E-14</v>
      </c>
      <c r="N42">
        <v>13.02</v>
      </c>
      <c r="O42" t="s">
        <v>406</v>
      </c>
      <c r="P42">
        <f>N42 / ((1000/C42) * 'Reality Constants'!$B$6)</f>
        <v>8.6405059279309198E-25</v>
      </c>
    </row>
    <row r="43" spans="1:16" x14ac:dyDescent="0.3">
      <c r="A43" t="s">
        <v>67</v>
      </c>
      <c r="B43" t="s">
        <v>73</v>
      </c>
      <c r="C43" s="2">
        <v>40.961824999999997</v>
      </c>
      <c r="D43">
        <v>6.73</v>
      </c>
      <c r="E43">
        <f>C43 * 'Reality Constants'!$B$2</f>
        <v>6.8018710746763974E-25</v>
      </c>
      <c r="F43">
        <f>E43 * ('Reality Constants'!$B$3 * 'Reality Constants'!$B$3)</f>
        <v>6.1132168534655754E-8</v>
      </c>
      <c r="G43">
        <f>F43 / 'Reality Constants'!$B$4</f>
        <v>38155698465.051857</v>
      </c>
      <c r="H43">
        <f>F43 / 'Reality Constants'!$B$5</f>
        <v>1.6981157926293264E-14</v>
      </c>
      <c r="N43">
        <v>13.02</v>
      </c>
      <c r="O43" t="s">
        <v>406</v>
      </c>
      <c r="P43">
        <f>N43 / ((1000/C43) * 'Reality Constants'!$B$6)</f>
        <v>8.8562431335104617E-25</v>
      </c>
    </row>
    <row r="44" spans="1:16" x14ac:dyDescent="0.3">
      <c r="A44" t="s">
        <v>70</v>
      </c>
      <c r="B44" t="s">
        <v>74</v>
      </c>
      <c r="C44" s="2">
        <v>41.958621999999998</v>
      </c>
      <c r="D44">
        <v>0.65</v>
      </c>
      <c r="E44">
        <f>C44 * 'Reality Constants'!$B$2</f>
        <v>6.9673931109046224E-25</v>
      </c>
      <c r="F44">
        <f>E44 * ('Reality Constants'!$B$3 * 'Reality Constants'!$B$3)</f>
        <v>6.2619806407207554E-8</v>
      </c>
      <c r="G44">
        <f>F44 / 'Reality Constants'!$B$4</f>
        <v>39084208993.156212</v>
      </c>
      <c r="H44">
        <f>F44 / 'Reality Constants'!$B$5</f>
        <v>1.7394390668668765E-14</v>
      </c>
      <c r="N44">
        <v>5.93</v>
      </c>
      <c r="O44" t="s">
        <v>406</v>
      </c>
      <c r="P44">
        <f>N44 / ((1000/C44) * 'Reality Constants'!$B$6)</f>
        <v>4.1317606851544336E-25</v>
      </c>
    </row>
    <row r="45" spans="1:16" x14ac:dyDescent="0.3">
      <c r="A45" t="s">
        <v>70</v>
      </c>
      <c r="B45" t="s">
        <v>75</v>
      </c>
      <c r="C45" s="2">
        <v>42.958770000000001</v>
      </c>
      <c r="D45">
        <v>0.14000000000000001</v>
      </c>
      <c r="E45">
        <f>C45 * 'Reality Constants'!$B$2</f>
        <v>7.133471593774843E-25</v>
      </c>
      <c r="F45">
        <f>E45 * ('Reality Constants'!$B$3 * 'Reality Constants'!$B$3)</f>
        <v>6.4112445372771204E-8</v>
      </c>
      <c r="G45">
        <f>F45 / 'Reality Constants'!$B$4</f>
        <v>40015840958.002136</v>
      </c>
      <c r="H45">
        <f>F45 / 'Reality Constants'!$B$5</f>
        <v>1.7809012603547558E-14</v>
      </c>
      <c r="N45">
        <v>5.93</v>
      </c>
      <c r="O45" t="s">
        <v>406</v>
      </c>
      <c r="P45">
        <f>N45 / ((1000/C45) * 'Reality Constants'!$B$6)</f>
        <v>4.230247527399535E-25</v>
      </c>
    </row>
    <row r="46" spans="1:16" x14ac:dyDescent="0.3">
      <c r="A46" t="s">
        <v>70</v>
      </c>
      <c r="B46" t="s">
        <v>76</v>
      </c>
      <c r="C46" s="2">
        <v>43.955485000000003</v>
      </c>
      <c r="D46">
        <v>2.0859999999999999</v>
      </c>
      <c r="E46">
        <f>C46 * 'Reality Constants'!$B$2</f>
        <v>7.2989800135827035E-25</v>
      </c>
      <c r="F46">
        <f>E46 * ('Reality Constants'!$B$3 * 'Reality Constants'!$B$3)</f>
        <v>6.5599960867039818E-8</v>
      </c>
      <c r="G46">
        <f>F46 / 'Reality Constants'!$B$4</f>
        <v>40944275103.589989</v>
      </c>
      <c r="H46">
        <f>F46 / 'Reality Constants'!$B$5</f>
        <v>1.8222211351955505E-14</v>
      </c>
      <c r="N46">
        <v>5.93</v>
      </c>
      <c r="O46" t="s">
        <v>406</v>
      </c>
      <c r="P46">
        <f>N46 / ((1000/C46) * 'Reality Constants'!$B$6)</f>
        <v>4.3283963143473927E-25</v>
      </c>
    </row>
    <row r="47" spans="1:16" x14ac:dyDescent="0.3">
      <c r="A47" t="s">
        <v>77</v>
      </c>
      <c r="B47" t="s">
        <v>78</v>
      </c>
      <c r="C47" s="2">
        <v>44.955914</v>
      </c>
      <c r="D47">
        <v>100</v>
      </c>
      <c r="E47">
        <f>C47 * 'Reality Constants'!$B$2</f>
        <v>7.4651051576007597E-25</v>
      </c>
      <c r="F47">
        <f>E47 * ('Reality Constants'!$B$3 * 'Reality Constants'!$B$3)</f>
        <v>6.7093019202086093E-8</v>
      </c>
      <c r="G47">
        <f>F47 / 'Reality Constants'!$B$4</f>
        <v>41876168818.279053</v>
      </c>
      <c r="H47">
        <f>F47 / 'Reality Constants'!$B$5</f>
        <v>1.8636949778357248E-14</v>
      </c>
      <c r="N47">
        <v>15000</v>
      </c>
      <c r="O47" t="s">
        <v>416</v>
      </c>
      <c r="P47">
        <f>N47 / ((1000/C47) * 'Reality Constants'!$B$6)</f>
        <v>1.1197919461972767E-21</v>
      </c>
    </row>
    <row r="48" spans="1:16" x14ac:dyDescent="0.3">
      <c r="A48" t="s">
        <v>79</v>
      </c>
      <c r="B48" t="s">
        <v>80</v>
      </c>
      <c r="C48" s="2">
        <v>45.952632999999999</v>
      </c>
      <c r="D48">
        <v>8</v>
      </c>
      <c r="E48">
        <f>C48 * 'Reality Constants'!$B$2</f>
        <v>7.6306142416242461E-25</v>
      </c>
      <c r="F48">
        <f>E48 * ('Reality Constants'!$B$3 * 'Reality Constants'!$B$3)</f>
        <v>6.8580540666027058E-8</v>
      </c>
      <c r="G48">
        <f>F48 / 'Reality Constants'!$B$4</f>
        <v>42804606689.843323</v>
      </c>
      <c r="H48">
        <f>F48 / 'Reality Constants'!$B$5</f>
        <v>1.9050150185007515E-14</v>
      </c>
      <c r="N48">
        <v>3.77</v>
      </c>
      <c r="O48" t="s">
        <v>413</v>
      </c>
      <c r="P48">
        <f>N48 / ((1000/C48) * 'Reality Constants'!$B$6)</f>
        <v>2.8768088078711391E-25</v>
      </c>
    </row>
    <row r="49" spans="1:16" x14ac:dyDescent="0.3">
      <c r="A49" t="s">
        <v>70</v>
      </c>
      <c r="B49" t="s">
        <v>81</v>
      </c>
      <c r="C49" s="2">
        <v>45.953688999999997</v>
      </c>
      <c r="D49">
        <v>4.0000000000000001E-3</v>
      </c>
      <c r="E49">
        <f>C49 * 'Reality Constants'!$B$2</f>
        <v>7.6307895945499242E-25</v>
      </c>
      <c r="F49">
        <f>E49 * ('Reality Constants'!$B$3 * 'Reality Constants'!$B$3)</f>
        <v>6.8582116659527655E-8</v>
      </c>
      <c r="G49">
        <f>F49 / 'Reality Constants'!$B$4</f>
        <v>42805590347.616844</v>
      </c>
      <c r="H49">
        <f>F49 / 'Reality Constants'!$B$5</f>
        <v>1.9050587960979904E-14</v>
      </c>
      <c r="N49">
        <v>5.93</v>
      </c>
      <c r="O49" t="s">
        <v>406</v>
      </c>
      <c r="P49">
        <f>N49 / ((1000/C49) * 'Reality Constants'!$B$6)</f>
        <v>4.525163994852208E-25</v>
      </c>
    </row>
    <row r="50" spans="1:16" x14ac:dyDescent="0.3">
      <c r="A50" t="s">
        <v>79</v>
      </c>
      <c r="B50" t="s">
        <v>82</v>
      </c>
      <c r="C50" s="2">
        <v>46.951765000000002</v>
      </c>
      <c r="D50">
        <v>7.3</v>
      </c>
      <c r="E50">
        <f>C50 * 'Reality Constants'!$B$2</f>
        <v>7.7965240137250646E-25</v>
      </c>
      <c r="F50">
        <f>E50 * ('Reality Constants'!$B$3 * 'Reality Constants'!$B$3)</f>
        <v>7.0071663334813611E-8</v>
      </c>
      <c r="G50">
        <f>F50 / 'Reality Constants'!$B$4</f>
        <v>43735292256.679863</v>
      </c>
      <c r="H50">
        <f>F50 / 'Reality Constants'!$B$5</f>
        <v>1.9464350926337114E-14</v>
      </c>
      <c r="N50">
        <v>3.77</v>
      </c>
      <c r="O50" t="s">
        <v>413</v>
      </c>
      <c r="P50">
        <f>N50 / ((1000/C50) * 'Reality Constants'!$B$6)</f>
        <v>2.9393582539023582E-25</v>
      </c>
    </row>
    <row r="51" spans="1:16" x14ac:dyDescent="0.3">
      <c r="A51" t="s">
        <v>79</v>
      </c>
      <c r="B51" t="s">
        <v>83</v>
      </c>
      <c r="C51" s="2">
        <v>47.947946999999999</v>
      </c>
      <c r="D51">
        <v>73.8</v>
      </c>
      <c r="E51">
        <f>C51 * 'Reality Constants'!$B$2</f>
        <v>7.9619439268005504E-25</v>
      </c>
      <c r="F51">
        <f>E51 * ('Reality Constants'!$B$3 * 'Reality Constants'!$B$3)</f>
        <v>7.1558383370241487E-8</v>
      </c>
      <c r="G51">
        <f>F51 / 'Reality Constants'!$B$4</f>
        <v>44663229915.910431</v>
      </c>
      <c r="H51">
        <f>F51 / 'Reality Constants'!$B$5</f>
        <v>1.987732871395597E-14</v>
      </c>
      <c r="N51">
        <v>3.77</v>
      </c>
      <c r="O51" t="s">
        <v>413</v>
      </c>
      <c r="P51">
        <f>N51 / ((1000/C51) * 'Reality Constants'!$B$6)</f>
        <v>3.0017230187645302E-25</v>
      </c>
    </row>
    <row r="52" spans="1:16" x14ac:dyDescent="0.3">
      <c r="A52" t="s">
        <v>70</v>
      </c>
      <c r="B52" t="s">
        <v>84</v>
      </c>
      <c r="C52" s="2">
        <v>47.952531999999998</v>
      </c>
      <c r="D52">
        <v>0.19</v>
      </c>
      <c r="E52">
        <f>C52 * 'Reality Constants'!$B$2</f>
        <v>7.9627052839636504E-25</v>
      </c>
      <c r="F52">
        <f>E52 * ('Reality Constants'!$B$3 * 'Reality Constants'!$B$3)</f>
        <v>7.1565226107173522E-8</v>
      </c>
      <c r="G52">
        <f>F52 / 'Reality Constants'!$B$4</f>
        <v>44667500816.375977</v>
      </c>
      <c r="H52">
        <f>F52 / 'Reality Constants'!$B$5</f>
        <v>1.9879229474214866E-14</v>
      </c>
      <c r="N52">
        <v>5.93</v>
      </c>
      <c r="O52" t="s">
        <v>406</v>
      </c>
      <c r="P52">
        <f>N52 / ((1000/C52) * 'Reality Constants'!$B$6)</f>
        <v>4.7219945991364991E-25</v>
      </c>
    </row>
    <row r="53" spans="1:16" x14ac:dyDescent="0.3">
      <c r="A53" t="s">
        <v>79</v>
      </c>
      <c r="B53" t="s">
        <v>85</v>
      </c>
      <c r="C53" s="2">
        <v>48.947870999999999</v>
      </c>
      <c r="D53">
        <v>5.5</v>
      </c>
      <c r="E53">
        <f>C53 * 'Reality Constants'!$B$2</f>
        <v>8.1279852135956265E-25</v>
      </c>
      <c r="F53">
        <f>E53 * ('Reality Constants'!$B$3 * 'Reality Constants'!$B$3)</f>
        <v>7.3050688034153483E-8</v>
      </c>
      <c r="G53">
        <f>F53 / 'Reality Constants'!$B$4</f>
        <v>45594653226.077118</v>
      </c>
      <c r="H53">
        <f>F53 / 'Reality Constants'!$B$5</f>
        <v>2.0291857787264858E-14</v>
      </c>
      <c r="N53">
        <v>3.77</v>
      </c>
      <c r="O53" t="s">
        <v>413</v>
      </c>
      <c r="P53">
        <f>N53 / ((1000/C53) * 'Reality Constants'!$B$6)</f>
        <v>3.0643220469943546E-25</v>
      </c>
    </row>
    <row r="54" spans="1:16" x14ac:dyDescent="0.3">
      <c r="A54" t="s">
        <v>79</v>
      </c>
      <c r="B54" t="s">
        <v>86</v>
      </c>
      <c r="C54" s="2">
        <v>49.944786000000001</v>
      </c>
      <c r="D54">
        <v>5.4</v>
      </c>
      <c r="E54">
        <f>C54 * 'Reality Constants'!$B$2</f>
        <v>8.2935268441848644E-25</v>
      </c>
      <c r="F54">
        <f>E54 * ('Reality Constants'!$B$3 * 'Reality Constants'!$B$3)</f>
        <v>7.453850201203963E-8</v>
      </c>
      <c r="G54">
        <f>F54 / 'Reality Constants'!$B$4</f>
        <v>46523273670.48571</v>
      </c>
      <c r="H54">
        <f>F54 / 'Reality Constants'!$B$5</f>
        <v>2.0705139447788785E-14</v>
      </c>
      <c r="N54">
        <v>3.77</v>
      </c>
      <c r="O54" t="s">
        <v>413</v>
      </c>
      <c r="P54">
        <f>N54 / ((1000/C54) * 'Reality Constants'!$B$6)</f>
        <v>3.1267327004317507E-25</v>
      </c>
    </row>
    <row r="55" spans="1:16" x14ac:dyDescent="0.3">
      <c r="A55" t="s">
        <v>87</v>
      </c>
      <c r="B55" t="s">
        <v>88</v>
      </c>
      <c r="C55" s="2">
        <v>49.946046000000003</v>
      </c>
      <c r="D55">
        <v>4.3499999999999996</v>
      </c>
      <c r="E55">
        <f>C55 * 'Reality Constants'!$B$2</f>
        <v>8.2937360721075503E-25</v>
      </c>
      <c r="F55">
        <f>E55 * ('Reality Constants'!$B$3 * 'Reality Constants'!$B$3)</f>
        <v>7.4540382458830125E-8</v>
      </c>
      <c r="G55">
        <f>F55 / 'Reality Constants'!$B$4</f>
        <v>46524447353.056404</v>
      </c>
      <c r="H55">
        <f>F55 / 'Reality Constants'!$B$5</f>
        <v>2.070566179411948E-14</v>
      </c>
      <c r="N55">
        <v>7.64</v>
      </c>
      <c r="O55" t="s">
        <v>415</v>
      </c>
      <c r="P55">
        <f>N55 / ((1000/C55) * 'Reality Constants'!$B$6)</f>
        <v>6.3365624616406519E-25</v>
      </c>
    </row>
    <row r="56" spans="1:16" x14ac:dyDescent="0.3">
      <c r="A56" t="s">
        <v>89</v>
      </c>
      <c r="B56" t="s">
        <v>90</v>
      </c>
      <c r="C56" s="2">
        <v>49.947161000000001</v>
      </c>
      <c r="D56">
        <v>0.25</v>
      </c>
      <c r="E56">
        <f>C56 * 'Reality Constants'!$B$2</f>
        <v>8.293921222213733E-25</v>
      </c>
      <c r="F56">
        <f>E56 * ('Reality Constants'!$B$3 * 'Reality Constants'!$B$3)</f>
        <v>7.4542046504997881E-8</v>
      </c>
      <c r="G56">
        <f>F56 / 'Reality Constants'!$B$4</f>
        <v>46525485968.98204</v>
      </c>
      <c r="H56">
        <f>F56 / 'Reality Constants'!$B$5</f>
        <v>2.0706124029166079E-14</v>
      </c>
      <c r="N56">
        <v>22.6</v>
      </c>
      <c r="O56" t="s">
        <v>413</v>
      </c>
      <c r="P56">
        <f>N56 / ((1000/C56) * 'Reality Constants'!$B$6)</f>
        <v>1.8744700076386587E-24</v>
      </c>
    </row>
    <row r="57" spans="1:16" x14ac:dyDescent="0.3">
      <c r="A57" t="s">
        <v>89</v>
      </c>
      <c r="B57" t="s">
        <v>91</v>
      </c>
      <c r="C57" s="2">
        <v>50.943962999999997</v>
      </c>
      <c r="D57">
        <v>99.75</v>
      </c>
      <c r="E57">
        <f>C57 * 'Reality Constants'!$B$2</f>
        <v>8.4594440887114929E-25</v>
      </c>
      <c r="F57">
        <f>E57 * ('Reality Constants'!$B$3 * 'Reality Constants'!$B$3)</f>
        <v>7.6029691839640127E-8</v>
      </c>
      <c r="G57">
        <f>F57 / 'Reality Constants'!$B$4</f>
        <v>47454001154.556923</v>
      </c>
      <c r="H57">
        <f>F57 / 'Reality Constants'!$B$5</f>
        <v>2.1119358844344479E-14</v>
      </c>
      <c r="N57">
        <v>22.6</v>
      </c>
      <c r="O57" t="s">
        <v>413</v>
      </c>
      <c r="P57">
        <f>N57 / ((1000/C57) * 'Reality Constants'!$B$6)</f>
        <v>1.9118790498173366E-24</v>
      </c>
    </row>
    <row r="58" spans="1:16" x14ac:dyDescent="0.3">
      <c r="A58" t="s">
        <v>87</v>
      </c>
      <c r="B58" t="s">
        <v>92</v>
      </c>
      <c r="C58" s="2">
        <v>51.940510000000003</v>
      </c>
      <c r="D58">
        <v>83.79</v>
      </c>
      <c r="E58">
        <f>C58 * 'Reality Constants'!$B$2</f>
        <v>8.6249246114629958E-25</v>
      </c>
      <c r="F58">
        <f>E58 * ('Reality Constants'!$B$3 * 'Reality Constants'!$B$3)</f>
        <v>7.7516956607670017E-8</v>
      </c>
      <c r="G58">
        <f>F58 / 'Reality Constants'!$B$4</f>
        <v>48382278809.135353</v>
      </c>
      <c r="H58">
        <f>F58 / 'Reality Constants'!$B$5</f>
        <v>2.1532487946575005E-14</v>
      </c>
      <c r="N58">
        <v>7.64</v>
      </c>
      <c r="O58" t="s">
        <v>415</v>
      </c>
      <c r="P58">
        <f>N58 / ((1000/C58) * 'Reality Constants'!$B$6)</f>
        <v>6.5895964197940891E-25</v>
      </c>
    </row>
    <row r="59" spans="1:16" x14ac:dyDescent="0.3">
      <c r="A59" t="s">
        <v>87</v>
      </c>
      <c r="B59" t="s">
        <v>93</v>
      </c>
      <c r="C59" s="2">
        <v>52.940651000000003</v>
      </c>
      <c r="D59">
        <v>9.5</v>
      </c>
      <c r="E59">
        <f>C59 * 'Reality Constants'!$B$2</f>
        <v>8.7910019319558663E-25</v>
      </c>
      <c r="F59">
        <f>E59 * ('Reality Constants'!$B$3 * 'Reality Constants'!$B$3)</f>
        <v>7.9009585126307033E-8</v>
      </c>
      <c r="G59">
        <f>F59 / 'Reality Constants'!$B$4</f>
        <v>49313904253.522537</v>
      </c>
      <c r="H59">
        <f>F59 / 'Reality Constants'!$B$5</f>
        <v>2.1947106979529732E-14</v>
      </c>
      <c r="N59">
        <v>7.64</v>
      </c>
      <c r="O59" t="s">
        <v>415</v>
      </c>
      <c r="P59">
        <f>N59 / ((1000/C59) * 'Reality Constants'!$B$6)</f>
        <v>6.7164824583194952E-25</v>
      </c>
    </row>
    <row r="60" spans="1:16" x14ac:dyDescent="0.3">
      <c r="A60" t="s">
        <v>87</v>
      </c>
      <c r="B60" t="s">
        <v>94</v>
      </c>
      <c r="C60" s="2">
        <v>53.938882</v>
      </c>
      <c r="D60">
        <v>2.36</v>
      </c>
      <c r="E60">
        <f>C60 * 'Reality Constants'!$B$2</f>
        <v>8.9567620894865741E-25</v>
      </c>
      <c r="F60">
        <f>E60 * ('Reality Constants'!$B$3 * 'Reality Constants'!$B$3)</f>
        <v>8.0499363126396577E-8</v>
      </c>
      <c r="G60">
        <f>F60 / 'Reality Constants'!$B$4</f>
        <v>50243750544.171631</v>
      </c>
      <c r="H60">
        <f>F60 / 'Reality Constants'!$B$5</f>
        <v>2.2360934201776828E-14</v>
      </c>
      <c r="N60">
        <v>7.64</v>
      </c>
      <c r="O60" t="s">
        <v>415</v>
      </c>
      <c r="P60">
        <f>N60 / ((1000/C60) * 'Reality Constants'!$B$6)</f>
        <v>6.8431261786781787E-25</v>
      </c>
    </row>
    <row r="61" spans="1:16" x14ac:dyDescent="0.3">
      <c r="A61" t="s">
        <v>95</v>
      </c>
      <c r="B61" t="s">
        <v>96</v>
      </c>
      <c r="C61" s="2">
        <v>53.939611999999997</v>
      </c>
      <c r="D61">
        <v>5.8</v>
      </c>
      <c r="E61">
        <f>C61 * 'Reality Constants'!$B$2</f>
        <v>8.9568833088386048E-25</v>
      </c>
      <c r="F61">
        <f>E61 * ('Reality Constants'!$B$3 * 'Reality Constants'!$B$3)</f>
        <v>8.0500452591600591E-8</v>
      </c>
      <c r="G61">
        <f>F61 / 'Reality Constants'!$B$4</f>
        <v>50244430534.867348</v>
      </c>
      <c r="H61">
        <f>F61 / 'Reality Constants'!$B$5</f>
        <v>2.2361236831000164E-14</v>
      </c>
      <c r="N61">
        <v>0.08</v>
      </c>
      <c r="O61" t="s">
        <v>404</v>
      </c>
      <c r="P61">
        <f>N61 / ((1000/C61) * 'Reality Constants'!$B$6)</f>
        <v>7.1656741281966124E-27</v>
      </c>
    </row>
    <row r="62" spans="1:16" x14ac:dyDescent="0.3">
      <c r="A62" t="s">
        <v>97</v>
      </c>
      <c r="B62" t="s">
        <v>98</v>
      </c>
      <c r="C62" s="2">
        <v>54.938046</v>
      </c>
      <c r="D62">
        <v>100</v>
      </c>
      <c r="E62">
        <f>C62 * 'Reality Constants'!$B$2</f>
        <v>9.1226771753124123E-25</v>
      </c>
      <c r="F62">
        <f>E62 * ('Reality Constants'!$B$3 * 'Reality Constants'!$B$3)</f>
        <v>8.1990533552561939E-8</v>
      </c>
      <c r="G62">
        <f>F62 / 'Reality Constants'!$B$4</f>
        <v>51174465918.819496</v>
      </c>
      <c r="H62">
        <f>F62 / 'Reality Constants'!$B$5</f>
        <v>2.2775148209044983E-14</v>
      </c>
      <c r="N62">
        <v>2.06</v>
      </c>
      <c r="O62" t="s">
        <v>413</v>
      </c>
      <c r="P62">
        <f>N62 / ((1000/C62) * 'Reality Constants'!$B$6)</f>
        <v>1.8793154227831287E-25</v>
      </c>
    </row>
    <row r="63" spans="1:16" x14ac:dyDescent="0.3">
      <c r="A63" t="s">
        <v>95</v>
      </c>
      <c r="B63" t="s">
        <v>99</v>
      </c>
      <c r="C63" s="2">
        <v>55.934939</v>
      </c>
      <c r="D63">
        <v>91.72</v>
      </c>
      <c r="E63">
        <f>C63 * 'Reality Constants'!$B$2</f>
        <v>9.2882151527157002E-25</v>
      </c>
      <c r="F63">
        <f>E63 * ('Reality Constants'!$B$3 * 'Reality Constants'!$B$3)</f>
        <v>8.3478314697250168E-8</v>
      </c>
      <c r="G63">
        <f>F63 / 'Reality Constants'!$B$4</f>
        <v>52103065870.357811</v>
      </c>
      <c r="H63">
        <f>F63 / 'Reality Constants'!$B$5</f>
        <v>2.3188420749236158E-14</v>
      </c>
      <c r="N63">
        <v>0.08</v>
      </c>
      <c r="O63" t="s">
        <v>404</v>
      </c>
      <c r="P63">
        <f>N63 / ((1000/C63) * 'Reality Constants'!$B$6)</f>
        <v>7.4307457987379617E-27</v>
      </c>
    </row>
    <row r="64" spans="1:16" x14ac:dyDescent="0.3">
      <c r="A64" t="s">
        <v>95</v>
      </c>
      <c r="B64" t="s">
        <v>100</v>
      </c>
      <c r="C64" s="2">
        <v>56.935395999999997</v>
      </c>
      <c r="D64">
        <v>2.2000000000000002</v>
      </c>
      <c r="E64">
        <f>C64 * 'Reality Constants'!$B$2</f>
        <v>9.4543449462431484E-25</v>
      </c>
      <c r="F64">
        <f>E64 * ('Reality Constants'!$B$3 * 'Reality Constants'!$B$3)</f>
        <v>8.4971414820002888E-8</v>
      </c>
      <c r="G64">
        <f>F64 / 'Reality Constants'!$B$4</f>
        <v>53034985666.881767</v>
      </c>
      <c r="H64">
        <f>F64 / 'Reality Constants'!$B$5</f>
        <v>2.3603170783334135E-14</v>
      </c>
      <c r="N64">
        <v>0.08</v>
      </c>
      <c r="O64" t="s">
        <v>404</v>
      </c>
      <c r="P64">
        <f>N64 / ((1000/C64) * 'Reality Constants'!$B$6)</f>
        <v>7.5636527399535058E-27</v>
      </c>
    </row>
    <row r="65" spans="1:16" x14ac:dyDescent="0.3">
      <c r="A65" t="s">
        <v>95</v>
      </c>
      <c r="B65" t="s">
        <v>101</v>
      </c>
      <c r="C65" s="2">
        <v>57.933278000000001</v>
      </c>
      <c r="D65">
        <v>0.28000000000000003</v>
      </c>
      <c r="E65">
        <f>C65 * 'Reality Constants'!$B$2</f>
        <v>9.6200471509603525E-25</v>
      </c>
      <c r="F65">
        <f>E65 * ('Reality Constants'!$B$3 * 'Reality Constants'!$B$3)</f>
        <v>8.6460671966179851E-8</v>
      </c>
      <c r="G65">
        <f>F65 / 'Reality Constants'!$B$4</f>
        <v>53964506866.088676</v>
      </c>
      <c r="H65">
        <f>F65 / 'Reality Constants'!$B$5</f>
        <v>2.4016853323938849E-14</v>
      </c>
      <c r="N65">
        <v>0.08</v>
      </c>
      <c r="O65" t="s">
        <v>404</v>
      </c>
      <c r="P65">
        <f>N65 / ((1000/C65) * 'Reality Constants'!$B$6)</f>
        <v>7.6962176021255399E-27</v>
      </c>
    </row>
    <row r="66" spans="1:16" x14ac:dyDescent="0.3">
      <c r="A66" t="s">
        <v>102</v>
      </c>
      <c r="B66" t="s">
        <v>103</v>
      </c>
      <c r="C66" s="2">
        <v>57.935347</v>
      </c>
      <c r="D66">
        <v>68.27</v>
      </c>
      <c r="E66">
        <f>C66 * 'Reality Constants'!$B$2</f>
        <v>9.6203907164937112E-25</v>
      </c>
      <c r="F66">
        <f>E66 * ('Reality Constants'!$B$3 * 'Reality Constants'!$B$3)</f>
        <v>8.6463759779203262E-8</v>
      </c>
      <c r="G66">
        <f>F66 / 'Reality Constants'!$B$4</f>
        <v>53966434127.389259</v>
      </c>
      <c r="H66">
        <f>F66 / 'Reality Constants'!$B$5</f>
        <v>2.4017711049778685E-14</v>
      </c>
      <c r="N66">
        <v>9.19</v>
      </c>
      <c r="O66" t="s">
        <v>414</v>
      </c>
      <c r="P66">
        <f>N66 / ((1000/C66) * 'Reality Constants'!$B$6)</f>
        <v>8.8413457145466646E-25</v>
      </c>
    </row>
    <row r="67" spans="1:16" x14ac:dyDescent="0.3">
      <c r="A67" t="s">
        <v>104</v>
      </c>
      <c r="B67" t="s">
        <v>105</v>
      </c>
      <c r="C67" s="2">
        <v>58.933197999999997</v>
      </c>
      <c r="D67">
        <v>100</v>
      </c>
      <c r="E67">
        <f>C67 * 'Reality Constants'!$B$2</f>
        <v>9.7860877735398001E-25</v>
      </c>
      <c r="F67">
        <f>E67 * ('Reality Constants'!$B$3 * 'Reality Constants'!$B$3)</f>
        <v>8.7952970660419483E-8</v>
      </c>
      <c r="G67">
        <f>F67 / 'Reality Constants'!$B$4</f>
        <v>54895926450.278938</v>
      </c>
      <c r="H67">
        <f>F67 / 'Reality Constants'!$B$5</f>
        <v>2.4431380739005411E-14</v>
      </c>
      <c r="N67">
        <v>59.5</v>
      </c>
      <c r="O67" t="s">
        <v>414</v>
      </c>
      <c r="P67">
        <f>N67 / ((1000/C67) * 'Reality Constants'!$B$6)</f>
        <v>5.8228583211557628E-24</v>
      </c>
    </row>
    <row r="68" spans="1:16" x14ac:dyDescent="0.3">
      <c r="A68" t="s">
        <v>102</v>
      </c>
      <c r="B68" t="s">
        <v>106</v>
      </c>
      <c r="C68" s="2">
        <v>59.930788999999997</v>
      </c>
      <c r="D68">
        <v>26.1</v>
      </c>
      <c r="E68">
        <f>C68 * 'Reality Constants'!$B$2</f>
        <v>9.9517416565700971E-25</v>
      </c>
      <c r="F68">
        <f>E68 * ('Reality Constants'!$B$3 * 'Reality Constants'!$B$3)</f>
        <v>8.9441793512932903E-8</v>
      </c>
      <c r="G68">
        <f>F68 / 'Reality Constants'!$B$4</f>
        <v>55825176584.701645</v>
      </c>
      <c r="H68">
        <f>F68 / 'Reality Constants'!$B$5</f>
        <v>2.4844942642481363E-14</v>
      </c>
      <c r="N68">
        <v>9.19</v>
      </c>
      <c r="O68" t="s">
        <v>414</v>
      </c>
      <c r="P68">
        <f>N68 / ((1000/C68) * 'Reality Constants'!$B$6)</f>
        <v>9.1458643458983722E-25</v>
      </c>
    </row>
    <row r="69" spans="1:16" x14ac:dyDescent="0.3">
      <c r="A69" t="s">
        <v>102</v>
      </c>
      <c r="B69" t="s">
        <v>107</v>
      </c>
      <c r="C69" s="2">
        <v>60.931058999999998</v>
      </c>
      <c r="D69">
        <v>1.1299999999999999</v>
      </c>
      <c r="E69">
        <f>C69 * 'Reality Constants'!$B$2</f>
        <v>1.0117840398016958E-24</v>
      </c>
      <c r="F69">
        <f>E69 * ('Reality Constants'!$B$3 * 'Reality Constants'!$B$3)</f>
        <v>9.0934614553503251E-8</v>
      </c>
      <c r="G69">
        <f>F69 / 'Reality Constants'!$B$4</f>
        <v>56756922191.828224</v>
      </c>
      <c r="H69">
        <f>F69 / 'Reality Constants'!$B$5</f>
        <v>2.5259615153750904E-14</v>
      </c>
      <c r="N69">
        <v>9.19</v>
      </c>
      <c r="O69" t="s">
        <v>414</v>
      </c>
      <c r="P69">
        <f>N69 / ((1000/C69) * 'Reality Constants'!$B$6)</f>
        <v>9.2985126570906672E-25</v>
      </c>
    </row>
    <row r="70" spans="1:16" x14ac:dyDescent="0.3">
      <c r="A70" t="s">
        <v>102</v>
      </c>
      <c r="B70" t="s">
        <v>108</v>
      </c>
      <c r="C70" s="2">
        <v>61.928345999999998</v>
      </c>
      <c r="D70">
        <v>3.59</v>
      </c>
      <c r="E70">
        <f>C70 * 'Reality Constants'!$B$2</f>
        <v>1.028344380065956E-24</v>
      </c>
      <c r="F70">
        <f>E70 * ('Reality Constants'!$B$3 * 'Reality Constants'!$B$3)</f>
        <v>9.2422983710918019E-8</v>
      </c>
      <c r="G70">
        <f>F70 / 'Reality Constants'!$B$4</f>
        <v>57685889152.043404</v>
      </c>
      <c r="H70">
        <f>F70 / 'Reality Constants'!$B$5</f>
        <v>2.5673051030810562E-14</v>
      </c>
      <c r="N70">
        <v>9.19</v>
      </c>
      <c r="O70" t="s">
        <v>414</v>
      </c>
      <c r="P70">
        <f>N70 / ((1000/C70) * 'Reality Constants'!$B$6)</f>
        <v>9.4507057412819651E-25</v>
      </c>
    </row>
    <row r="71" spans="1:16" x14ac:dyDescent="0.3">
      <c r="A71" t="s">
        <v>109</v>
      </c>
      <c r="B71" t="s">
        <v>110</v>
      </c>
      <c r="C71" s="2">
        <v>62.929599000000003</v>
      </c>
      <c r="D71">
        <v>69.17</v>
      </c>
      <c r="E71">
        <f>C71 * 'Reality Constants'!$B$2</f>
        <v>1.0449705773096898E-24</v>
      </c>
      <c r="F71">
        <f>E71 * ('Reality Constants'!$B$3 * 'Reality Constants'!$B$3)</f>
        <v>9.3917271798468575E-8</v>
      </c>
      <c r="G71">
        <f>F71 / 'Reality Constants'!$B$4</f>
        <v>58618550417.87394</v>
      </c>
      <c r="H71">
        <f>F71 / 'Reality Constants'!$B$5</f>
        <v>2.6088131055130161E-14</v>
      </c>
      <c r="N71">
        <v>5.9</v>
      </c>
      <c r="O71" t="s">
        <v>414</v>
      </c>
      <c r="P71">
        <f>N71 / ((1000/C71) * 'Reality Constants'!$B$6)</f>
        <v>6.165470509797411E-25</v>
      </c>
    </row>
    <row r="72" spans="1:16" x14ac:dyDescent="0.3">
      <c r="A72" t="s">
        <v>102</v>
      </c>
      <c r="B72" t="s">
        <v>111</v>
      </c>
      <c r="C72" s="2">
        <v>63.927968</v>
      </c>
      <c r="D72">
        <v>0.91</v>
      </c>
      <c r="E72">
        <f>C72 * 'Reality Constants'!$B$2</f>
        <v>1.0615488846066756E-24</v>
      </c>
      <c r="F72">
        <f>E72 * ('Reality Constants'!$B$3 * 'Reality Constants'!$B$3)</f>
        <v>9.5407255752254209E-8</v>
      </c>
      <c r="G72">
        <f>F72 / 'Reality Constants'!$B$4</f>
        <v>59548525254.709335</v>
      </c>
      <c r="H72">
        <f>F72 / 'Reality Constants'!$B$5</f>
        <v>2.650201548673728E-14</v>
      </c>
      <c r="N72">
        <v>9.19</v>
      </c>
      <c r="O72" t="s">
        <v>414</v>
      </c>
      <c r="P72">
        <f>N72 / ((1000/C72) * 'Reality Constants'!$B$6)</f>
        <v>9.7558622703420791E-25</v>
      </c>
    </row>
    <row r="73" spans="1:16" x14ac:dyDescent="0.3">
      <c r="A73" t="s">
        <v>112</v>
      </c>
      <c r="B73" t="s">
        <v>113</v>
      </c>
      <c r="C73" s="2">
        <v>63.929144999999998</v>
      </c>
      <c r="D73">
        <v>48.6</v>
      </c>
      <c r="E73">
        <f>C73 * 'Reality Constants'!$B$2</f>
        <v>1.0615684291515167E-24</v>
      </c>
      <c r="F73">
        <f>E73 * ('Reality Constants'!$B$3 * 'Reality Constants'!$B$3)</f>
        <v>9.540901232834341E-8</v>
      </c>
      <c r="G73">
        <f>F73 / 'Reality Constants'!$B$4</f>
        <v>59549621623.269409</v>
      </c>
      <c r="H73">
        <f>F73 / 'Reality Constants'!$B$5</f>
        <v>2.6502503424539836E-14</v>
      </c>
      <c r="N73">
        <v>2.83</v>
      </c>
      <c r="O73" t="s">
        <v>414</v>
      </c>
      <c r="P73">
        <f>N73 / ((1000/C73) * 'Reality Constants'!$B$6)</f>
        <v>3.0043088732979081E-25</v>
      </c>
    </row>
    <row r="74" spans="1:16" x14ac:dyDescent="0.3">
      <c r="A74" t="s">
        <v>109</v>
      </c>
      <c r="B74" t="s">
        <v>114</v>
      </c>
      <c r="C74" s="2">
        <v>64.927791999999997</v>
      </c>
      <c r="D74">
        <v>30.83</v>
      </c>
      <c r="E74">
        <f>C74 * 'Reality Constants'!$B$2</f>
        <v>1.0781513527471143E-24</v>
      </c>
      <c r="F74">
        <f>E74 * ('Reality Constants'!$B$3 * 'Reality Constants'!$B$3)</f>
        <v>9.6899411174357439E-8</v>
      </c>
      <c r="G74">
        <f>F74 / 'Reality Constants'!$B$4</f>
        <v>60479855415.465652</v>
      </c>
      <c r="H74">
        <f>F74 / 'Reality Constants'!$B$5</f>
        <v>2.6916503103988177E-14</v>
      </c>
      <c r="N74">
        <v>5.9</v>
      </c>
      <c r="O74" t="s">
        <v>414</v>
      </c>
      <c r="P74">
        <f>N74 / ((1000/C74) * 'Reality Constants'!$B$6)</f>
        <v>6.3612416605778813E-25</v>
      </c>
    </row>
    <row r="75" spans="1:16" x14ac:dyDescent="0.3">
      <c r="A75" t="s">
        <v>112</v>
      </c>
      <c r="B75" t="s">
        <v>115</v>
      </c>
      <c r="C75" s="2">
        <v>65.926034999999999</v>
      </c>
      <c r="D75">
        <v>27.9</v>
      </c>
      <c r="E75">
        <f>C75 * 'Reality Constants'!$B$2</f>
        <v>1.0947275677648732E-24</v>
      </c>
      <c r="F75">
        <f>E75 * ('Reality Constants'!$B$3 * 'Reality Constants'!$B$3)</f>
        <v>9.8389207083464024E-8</v>
      </c>
      <c r="G75">
        <f>F75 / 'Reality Constants'!$B$4</f>
        <v>61409712884.043983</v>
      </c>
      <c r="H75">
        <f>F75 / 'Reality Constants'!$B$5</f>
        <v>2.7330335300962229E-14</v>
      </c>
      <c r="N75">
        <v>2.83</v>
      </c>
      <c r="O75" t="s">
        <v>414</v>
      </c>
      <c r="P75">
        <f>N75 / ((1000/C75) * 'Reality Constants'!$B$6)</f>
        <v>3.0981514289272667E-25</v>
      </c>
    </row>
    <row r="76" spans="1:16" x14ac:dyDescent="0.3">
      <c r="A76" t="s">
        <v>112</v>
      </c>
      <c r="B76" t="s">
        <v>116</v>
      </c>
      <c r="C76" s="2">
        <v>66.927128999999994</v>
      </c>
      <c r="D76">
        <v>4.0999999999999996</v>
      </c>
      <c r="E76">
        <f>C76 * 'Reality Constants'!$B$2</f>
        <v>1.1113511247514873E-24</v>
      </c>
      <c r="F76">
        <f>E76 * ('Reality Constants'!$B$3 * 'Reality Constants'!$B$3)</f>
        <v>9.9883257876538626E-8</v>
      </c>
      <c r="G76">
        <f>F76 / 'Reality Constants'!$B$4</f>
        <v>62342226042.312019</v>
      </c>
      <c r="H76">
        <f>F76 / 'Reality Constants'!$B$5</f>
        <v>2.774534941014962E-14</v>
      </c>
      <c r="N76">
        <v>2.83</v>
      </c>
      <c r="O76" t="s">
        <v>414</v>
      </c>
      <c r="P76">
        <f>N76 / ((1000/C76) * 'Reality Constants'!$B$6)</f>
        <v>3.1451971947857858E-25</v>
      </c>
    </row>
    <row r="77" spans="1:16" x14ac:dyDescent="0.3">
      <c r="A77" t="s">
        <v>112</v>
      </c>
      <c r="B77" t="s">
        <v>117</v>
      </c>
      <c r="C77" s="2">
        <v>67.924846000000002</v>
      </c>
      <c r="D77">
        <v>18.8</v>
      </c>
      <c r="E77">
        <f>C77 * 'Reality Constants'!$B$2</f>
        <v>1.127918605333744E-24</v>
      </c>
      <c r="F77">
        <f>E77 * ('Reality Constants'!$B$3 * 'Reality Constants'!$B$3)</f>
        <v>1.0137226877373111E-7</v>
      </c>
      <c r="G77">
        <f>F77 / 'Reality Constants'!$B$4</f>
        <v>63271593544.991806</v>
      </c>
      <c r="H77">
        <f>F77 / 'Reality Constants'!$B$5</f>
        <v>2.8158963548258642E-14</v>
      </c>
      <c r="N77">
        <v>2.83</v>
      </c>
      <c r="O77" t="s">
        <v>414</v>
      </c>
      <c r="P77">
        <f>N77 / ((1000/C77) * 'Reality Constants'!$B$6)</f>
        <v>3.1920842607107273E-25</v>
      </c>
    </row>
    <row r="78" spans="1:16" x14ac:dyDescent="0.3">
      <c r="A78" t="s">
        <v>118</v>
      </c>
      <c r="B78" t="s">
        <v>119</v>
      </c>
      <c r="C78" s="2">
        <v>68.925580999999994</v>
      </c>
      <c r="D78">
        <v>60.1</v>
      </c>
      <c r="E78">
        <f>C78 * 'Reality Constants'!$B$2</f>
        <v>1.1445362009851003E-24</v>
      </c>
      <c r="F78">
        <f>E78 * ('Reality Constants'!$B$3 * 'Reality Constants'!$B$3)</f>
        <v>1.028657837887122E-7</v>
      </c>
      <c r="G78">
        <f>F78 / 'Reality Constants'!$B$4</f>
        <v>64203772296.876595</v>
      </c>
      <c r="H78">
        <f>F78 / 'Reality Constants'!$B$5</f>
        <v>2.8573828830197832E-14</v>
      </c>
      <c r="N78">
        <v>278.2</v>
      </c>
      <c r="O78" t="s">
        <v>417</v>
      </c>
      <c r="P78">
        <f>N78 / ((1000/C78) * 'Reality Constants'!$B$6)</f>
        <v>3.1841741338757882E-23</v>
      </c>
    </row>
    <row r="79" spans="1:16" x14ac:dyDescent="0.3">
      <c r="A79" t="s">
        <v>120</v>
      </c>
      <c r="B79" t="s">
        <v>121</v>
      </c>
      <c r="C79" s="2">
        <v>69.924250000000001</v>
      </c>
      <c r="D79">
        <v>20.5</v>
      </c>
      <c r="E79">
        <f>C79 * 'Reality Constants'!$B$2</f>
        <v>1.1611194898992932E-24</v>
      </c>
      <c r="F79">
        <f>E79 * ('Reality Constants'!$B$3 * 'Reality Constants'!$B$3)</f>
        <v>1.0435621546792417E-7</v>
      </c>
      <c r="G79">
        <f>F79 / 'Reality Constants'!$B$4</f>
        <v>65134026581.943123</v>
      </c>
      <c r="H79">
        <f>F79 / 'Reality Constants'!$B$5</f>
        <v>2.8987837629978938E-14</v>
      </c>
      <c r="N79">
        <v>7753</v>
      </c>
      <c r="O79" t="s">
        <v>418</v>
      </c>
      <c r="P79">
        <f>N79 / ((1000/C79) * 'Reality Constants'!$B$6)</f>
        <v>9.0023698148455672E-22</v>
      </c>
    </row>
    <row r="80" spans="1:16" x14ac:dyDescent="0.3">
      <c r="A80" t="s">
        <v>112</v>
      </c>
      <c r="B80" t="s">
        <v>122</v>
      </c>
      <c r="C80" s="2">
        <v>69.925325000000001</v>
      </c>
      <c r="D80">
        <v>0.6</v>
      </c>
      <c r="E80">
        <f>C80 * 'Reality Constants'!$B$2</f>
        <v>1.1611373406942839E-24</v>
      </c>
      <c r="F80">
        <f>E80 * ('Reality Constants'!$B$3 * 'Reality Constants'!$B$3)</f>
        <v>1.0435781981736843E-7</v>
      </c>
      <c r="G80">
        <f>F80 / 'Reality Constants'!$B$4</f>
        <v>65135027938.104622</v>
      </c>
      <c r="H80">
        <f>F80 / 'Reality Constants'!$B$5</f>
        <v>2.8988283282602343E-14</v>
      </c>
      <c r="N80">
        <v>2.83</v>
      </c>
      <c r="O80" t="s">
        <v>414</v>
      </c>
      <c r="P80">
        <f>N80 / ((1000/C80) * 'Reality Constants'!$B$6)</f>
        <v>3.2860954790767188E-25</v>
      </c>
    </row>
    <row r="81" spans="1:16" x14ac:dyDescent="0.3">
      <c r="A81" t="s">
        <v>118</v>
      </c>
      <c r="B81" t="s">
        <v>123</v>
      </c>
      <c r="C81" s="2">
        <v>70.924700999999999</v>
      </c>
      <c r="D81">
        <v>39.9</v>
      </c>
      <c r="E81">
        <f>C81 * 'Reality Constants'!$B$2</f>
        <v>1.1777323696196939E-24</v>
      </c>
      <c r="F81">
        <f>E81 * ('Reality Constants'!$B$3 * 'Reality Constants'!$B$3)</f>
        <v>1.0584930663616838E-7</v>
      </c>
      <c r="G81">
        <f>F81 / 'Reality Constants'!$B$4</f>
        <v>66065940789.502472</v>
      </c>
      <c r="H81">
        <f>F81 / 'Reality Constants'!$B$5</f>
        <v>2.9402585176713439E-14</v>
      </c>
      <c r="N81">
        <v>278.2</v>
      </c>
      <c r="O81" t="s">
        <v>417</v>
      </c>
      <c r="P81">
        <f>N81 / ((1000/C81) * 'Reality Constants'!$B$6)</f>
        <v>3.2765280335768851E-23</v>
      </c>
    </row>
    <row r="82" spans="1:16" x14ac:dyDescent="0.3">
      <c r="A82" t="s">
        <v>120</v>
      </c>
      <c r="B82" t="s">
        <v>124</v>
      </c>
      <c r="C82" s="2">
        <v>71.922079999999994</v>
      </c>
      <c r="D82">
        <v>27.4</v>
      </c>
      <c r="E82">
        <f>C82 * 'Reality Constants'!$B$2</f>
        <v>1.1942942375798975E-24</v>
      </c>
      <c r="F82">
        <f>E82 * ('Reality Constants'!$B$3 * 'Reality Constants'!$B$3)</f>
        <v>1.0733781309604721E-7</v>
      </c>
      <c r="G82">
        <f>F82 / 'Reality Constants'!$B$4</f>
        <v>66994993447.175186</v>
      </c>
      <c r="H82">
        <f>F82 / 'Reality Constants'!$B$5</f>
        <v>2.9816059193346446E-14</v>
      </c>
      <c r="N82">
        <v>7753</v>
      </c>
      <c r="O82" t="s">
        <v>418</v>
      </c>
      <c r="P82">
        <f>N82 / ((1000/C82) * 'Reality Constants'!$B$6)</f>
        <v>9.2595796453005652E-22</v>
      </c>
    </row>
    <row r="83" spans="1:16" x14ac:dyDescent="0.3">
      <c r="A83" t="s">
        <v>120</v>
      </c>
      <c r="B83" t="s">
        <v>125</v>
      </c>
      <c r="C83" s="2">
        <v>72.923463999999996</v>
      </c>
      <c r="D83">
        <v>7.8</v>
      </c>
      <c r="E83">
        <f>C83 * 'Reality Constants'!$B$2</f>
        <v>1.2109226101298114E-24</v>
      </c>
      <c r="F83">
        <f>E83 * ('Reality Constants'!$B$3 * 'Reality Constants'!$B$3)</f>
        <v>1.0883229669036724E-7</v>
      </c>
      <c r="G83">
        <f>F83 / 'Reality Constants'!$B$4</f>
        <v>67927776738.733307</v>
      </c>
      <c r="H83">
        <f>F83 / 'Reality Constants'!$B$5</f>
        <v>3.0231193525102012E-14</v>
      </c>
      <c r="N83">
        <v>7753</v>
      </c>
      <c r="O83" t="s">
        <v>418</v>
      </c>
      <c r="P83">
        <f>N83 / ((1000/C83) * 'Reality Constants'!$B$6)</f>
        <v>9.3885024309531717E-22</v>
      </c>
    </row>
    <row r="84" spans="1:16" x14ac:dyDescent="0.3">
      <c r="A84" t="s">
        <v>120</v>
      </c>
      <c r="B84" t="s">
        <v>126</v>
      </c>
      <c r="C84" s="2">
        <v>73.921178999999995</v>
      </c>
      <c r="D84">
        <v>36.5</v>
      </c>
      <c r="E84">
        <f>C84 * 'Reality Constants'!$B$2</f>
        <v>1.2274900575012865E-24</v>
      </c>
      <c r="F84">
        <f>E84 * ('Reality Constants'!$B$3 * 'Reality Constants'!$B$3)</f>
        <v>1.1032130460272353E-7</v>
      </c>
      <c r="G84">
        <f>F84 / 'Reality Constants'!$B$4</f>
        <v>68857142378.424881</v>
      </c>
      <c r="H84">
        <f>F84 / 'Reality Constants'!$B$5</f>
        <v>3.0644806834089868E-14</v>
      </c>
      <c r="N84">
        <v>7753</v>
      </c>
      <c r="O84" t="s">
        <v>418</v>
      </c>
      <c r="P84">
        <f>N84 / ((1000/C84) * 'Reality Constants'!$B$6)</f>
        <v>9.5169528526569252E-22</v>
      </c>
    </row>
    <row r="85" spans="1:16" x14ac:dyDescent="0.3">
      <c r="A85" t="s">
        <v>127</v>
      </c>
      <c r="B85" t="s">
        <v>128</v>
      </c>
      <c r="C85" s="2">
        <v>73.922477000000001</v>
      </c>
      <c r="D85">
        <v>0.9</v>
      </c>
      <c r="E85">
        <f>C85 * 'Reality Constants'!$B$2</f>
        <v>1.2275116112984012E-24</v>
      </c>
      <c r="F85">
        <f>E85 * ('Reality Constants'!$B$3 * 'Reality Constants'!$B$3)</f>
        <v>1.1032324176140135E-7</v>
      </c>
      <c r="G85">
        <f>F85 / 'Reality Constants'!$B$4</f>
        <v>68858351457.7715</v>
      </c>
      <c r="H85">
        <f>F85 / 'Reality Constants'!$B$5</f>
        <v>3.0645344933722595E-14</v>
      </c>
      <c r="N85">
        <v>30.37</v>
      </c>
      <c r="O85" t="s">
        <v>406</v>
      </c>
      <c r="P85">
        <f>N85 / ((1000/C85) * 'Reality Constants'!$B$6)</f>
        <v>3.7280398978578548E-24</v>
      </c>
    </row>
    <row r="86" spans="1:16" x14ac:dyDescent="0.3">
      <c r="A86" t="s">
        <v>129</v>
      </c>
      <c r="B86" t="s">
        <v>130</v>
      </c>
      <c r="C86" s="2">
        <v>74.921595999999994</v>
      </c>
      <c r="D86">
        <v>100</v>
      </c>
      <c r="E86">
        <f>C86 * 'Reality Constants'!$B$2</f>
        <v>1.2441023726384038E-24</v>
      </c>
      <c r="F86">
        <f>E86 * ('Reality Constants'!$B$3 * 'Reality Constants'!$B$3)</f>
        <v>1.1181434502875275E-7</v>
      </c>
      <c r="G86">
        <f>F86 / 'Reality Constants'!$B$4</f>
        <v>69789024915.184692</v>
      </c>
      <c r="H86">
        <f>F86 / 'Reality Constants'!$B$5</f>
        <v>3.1059540285764651E-14</v>
      </c>
      <c r="N86">
        <v>1.74</v>
      </c>
      <c r="O86" t="s">
        <v>406</v>
      </c>
      <c r="P86">
        <f>N86 / ((1000/C86) * 'Reality Constants'!$B$6)</f>
        <v>2.1647887253404183E-25</v>
      </c>
    </row>
    <row r="87" spans="1:16" x14ac:dyDescent="0.3">
      <c r="A87" t="s">
        <v>127</v>
      </c>
      <c r="B87" t="s">
        <v>131</v>
      </c>
      <c r="C87" s="2">
        <v>75.919207</v>
      </c>
      <c r="D87">
        <v>9</v>
      </c>
      <c r="E87">
        <f>C87 * 'Reality Constants'!$B$2</f>
        <v>1.2606680930492474E-24</v>
      </c>
      <c r="F87">
        <f>E87 * ('Reality Constants'!$B$3 * 'Reality Constants'!$B$3)</f>
        <v>1.1330319772962794E-7</v>
      </c>
      <c r="G87">
        <f>F87 / 'Reality Constants'!$B$4</f>
        <v>70718293679.489487</v>
      </c>
      <c r="H87">
        <f>F87 / 'Reality Constants'!$B$5</f>
        <v>3.1473110480452206E-14</v>
      </c>
      <c r="N87">
        <v>30.37</v>
      </c>
      <c r="O87" t="s">
        <v>406</v>
      </c>
      <c r="P87">
        <f>N87 / ((1000/C87) * 'Reality Constants'!$B$6)</f>
        <v>3.8287384865327137E-24</v>
      </c>
    </row>
    <row r="88" spans="1:16" x14ac:dyDescent="0.3">
      <c r="A88" t="s">
        <v>120</v>
      </c>
      <c r="B88" t="s">
        <v>132</v>
      </c>
      <c r="C88" s="2">
        <v>75.921402999999998</v>
      </c>
      <c r="D88">
        <v>7.8</v>
      </c>
      <c r="E88">
        <f>C88 * 'Reality Constants'!$B$2</f>
        <v>1.2607045584872009E-24</v>
      </c>
      <c r="F88">
        <f>E88 * ('Reality Constants'!$B$3 * 'Reality Constants'!$B$3)</f>
        <v>1.1330647507974849E-7</v>
      </c>
      <c r="G88">
        <f>F88 / 'Reality Constants'!$B$4</f>
        <v>70720339240.541245</v>
      </c>
      <c r="H88">
        <f>F88 / 'Reality Constants'!$B$5</f>
        <v>3.1474020855485692E-14</v>
      </c>
      <c r="N88">
        <v>7753</v>
      </c>
      <c r="O88" t="s">
        <v>418</v>
      </c>
      <c r="P88">
        <f>N88 / ((1000/C88) * 'Reality Constants'!$B$6)</f>
        <v>9.7744708976917971E-22</v>
      </c>
    </row>
    <row r="89" spans="1:16" x14ac:dyDescent="0.3">
      <c r="A89" t="s">
        <v>127</v>
      </c>
      <c r="B89" t="s">
        <v>133</v>
      </c>
      <c r="C89" s="2">
        <v>76.919908000000007</v>
      </c>
      <c r="D89">
        <v>7.6</v>
      </c>
      <c r="E89">
        <f>C89 * 'Reality Constants'!$B$2</f>
        <v>1.2772851241173207E-24</v>
      </c>
      <c r="F89">
        <f>E89 * ('Reality Constants'!$B$3 * 'Reality Constants'!$B$3)</f>
        <v>1.1479666200239408E-7</v>
      </c>
      <c r="G89">
        <f>F89 / 'Reality Constants'!$B$4</f>
        <v>71650440760.574768</v>
      </c>
      <c r="H89">
        <f>F89 / 'Reality Constants'!$B$5</f>
        <v>3.1887961667331687E-14</v>
      </c>
      <c r="N89">
        <v>30.37</v>
      </c>
      <c r="O89" t="s">
        <v>406</v>
      </c>
      <c r="P89">
        <f>N89 / ((1000/C89) * 'Reality Constants'!$B$6)</f>
        <v>3.8792055894387255E-24</v>
      </c>
    </row>
    <row r="90" spans="1:16" x14ac:dyDescent="0.3">
      <c r="A90" t="s">
        <v>127</v>
      </c>
      <c r="B90" t="s">
        <v>134</v>
      </c>
      <c r="C90" s="2">
        <v>77.917304000000001</v>
      </c>
      <c r="D90">
        <v>23.5</v>
      </c>
      <c r="E90">
        <f>C90 * 'Reality Constants'!$B$2</f>
        <v>1.293847274369166E-24</v>
      </c>
      <c r="F90">
        <f>E90 * ('Reality Constants'!$B$3 * 'Reality Constants'!$B$3)</f>
        <v>1.162851938333804E-7</v>
      </c>
      <c r="G90">
        <f>F90 / 'Reality Constants'!$B$4</f>
        <v>72579509253.647247</v>
      </c>
      <c r="H90">
        <f>F90 / 'Reality Constants'!$B$5</f>
        <v>3.2301442731494553E-14</v>
      </c>
      <c r="N90">
        <v>30.37</v>
      </c>
      <c r="O90" t="s">
        <v>406</v>
      </c>
      <c r="P90">
        <f>N90 / ((1000/C90) * 'Reality Constants'!$B$6)</f>
        <v>3.9295060154101631E-24</v>
      </c>
    </row>
    <row r="91" spans="1:16" x14ac:dyDescent="0.3">
      <c r="A91" t="s">
        <v>135</v>
      </c>
      <c r="B91" t="s">
        <v>136</v>
      </c>
      <c r="C91" s="2">
        <v>77.920396999999994</v>
      </c>
      <c r="D91">
        <v>0.35</v>
      </c>
      <c r="E91">
        <f>C91 * 'Reality Constants'!$B$2</f>
        <v>1.2938986348425675E-24</v>
      </c>
      <c r="F91">
        <f>E91 * ('Reality Constants'!$B$3 * 'Reality Constants'!$B$3)</f>
        <v>1.1628980988252561E-7</v>
      </c>
      <c r="G91">
        <f>F91 / 'Reality Constants'!$B$4</f>
        <v>72582390364.910049</v>
      </c>
      <c r="H91">
        <f>F91 / 'Reality Constants'!$B$5</f>
        <v>3.2302724967368226E-14</v>
      </c>
      <c r="N91">
        <v>1.4</v>
      </c>
      <c r="O91" t="s">
        <v>412</v>
      </c>
      <c r="P91">
        <f>N91 / ((1000/C91) * 'Reality Constants'!$B$6)</f>
        <v>1.8115004284290935E-25</v>
      </c>
    </row>
    <row r="92" spans="1:16" x14ac:dyDescent="0.3">
      <c r="A92" t="s">
        <v>137</v>
      </c>
      <c r="B92" t="s">
        <v>138</v>
      </c>
      <c r="C92" s="2">
        <v>78.918335999999996</v>
      </c>
      <c r="D92">
        <v>50.69</v>
      </c>
      <c r="E92">
        <f>C92 * 'Reality Constants'!$B$2</f>
        <v>1.3104698018215572E-24</v>
      </c>
      <c r="F92">
        <f>E92 * ('Reality Constants'!$B$3 * 'Reality Constants'!$B$3)</f>
        <v>1.1777915209653356E-7</v>
      </c>
      <c r="G92">
        <f>F92 / 'Reality Constants'!$B$4</f>
        <v>73511964659.280853</v>
      </c>
      <c r="H92">
        <f>F92 / 'Reality Constants'!$B$5</f>
        <v>3.271643113792599E-14</v>
      </c>
      <c r="N92">
        <v>4.4000000000000004</v>
      </c>
      <c r="O92" t="s">
        <v>404</v>
      </c>
      <c r="P92">
        <f>N92 / ((1000/C92) * 'Reality Constants'!$B$6)</f>
        <v>5.7662018997010965E-25</v>
      </c>
    </row>
    <row r="93" spans="1:16" x14ac:dyDescent="0.3">
      <c r="A93" t="s">
        <v>135</v>
      </c>
      <c r="B93" t="s">
        <v>139</v>
      </c>
      <c r="C93" s="2">
        <v>79.916375000000002</v>
      </c>
      <c r="D93">
        <v>2.25</v>
      </c>
      <c r="E93">
        <f>C93 * 'Reality Constants'!$B$2</f>
        <v>1.3270426293396157E-24</v>
      </c>
      <c r="F93">
        <f>E93 * ('Reality Constants'!$B$3 * 'Reality Constants'!$B$3)</f>
        <v>1.1926864355235027E-7</v>
      </c>
      <c r="G93">
        <f>F93 / 'Reality Constants'!$B$4</f>
        <v>74441632103.062027</v>
      </c>
      <c r="H93">
        <f>F93 / 'Reality Constants'!$B$5</f>
        <v>3.3130178764541743E-14</v>
      </c>
      <c r="N93">
        <v>1.4</v>
      </c>
      <c r="O93" t="s">
        <v>412</v>
      </c>
      <c r="P93">
        <f>N93 / ((1000/C93) * 'Reality Constants'!$B$6)</f>
        <v>1.8579031052806376E-25</v>
      </c>
    </row>
    <row r="94" spans="1:16" x14ac:dyDescent="0.3">
      <c r="A94" t="s">
        <v>127</v>
      </c>
      <c r="B94" t="s">
        <v>140</v>
      </c>
      <c r="C94" s="2">
        <v>79.916521000000003</v>
      </c>
      <c r="D94">
        <v>49.6</v>
      </c>
      <c r="E94">
        <f>C94 * 'Reality Constants'!$B$2</f>
        <v>1.3270450537266563E-24</v>
      </c>
      <c r="F94">
        <f>E94 * ('Reality Constants'!$B$3 * 'Reality Constants'!$B$3)</f>
        <v>1.1926886144539108E-7</v>
      </c>
      <c r="G94">
        <f>F94 / 'Reality Constants'!$B$4</f>
        <v>74441768101.201172</v>
      </c>
      <c r="H94">
        <f>F94 / 'Reality Constants'!$B$5</f>
        <v>3.3130239290386409E-14</v>
      </c>
      <c r="N94">
        <v>30.37</v>
      </c>
      <c r="O94" t="s">
        <v>406</v>
      </c>
      <c r="P94">
        <f>N94 / ((1000/C94) * 'Reality Constants'!$B$6)</f>
        <v>4.0303300278478919E-24</v>
      </c>
    </row>
    <row r="95" spans="1:16" x14ac:dyDescent="0.3">
      <c r="A95" t="s">
        <v>137</v>
      </c>
      <c r="B95" t="s">
        <v>141</v>
      </c>
      <c r="C95" s="2">
        <v>80.916290000000004</v>
      </c>
      <c r="D95">
        <v>49.31</v>
      </c>
      <c r="E95">
        <f>C95 * 'Reality Constants'!$B$2</f>
        <v>1.3436466085706072E-24</v>
      </c>
      <c r="F95">
        <f>E95 * ('Reality Constants'!$B$3 * 'Reality Constants'!$B$3)</f>
        <v>1.2076093478449947E-7</v>
      </c>
      <c r="G95">
        <f>F95 / 'Reality Constants'!$B$4</f>
        <v>75373047029.781769</v>
      </c>
      <c r="H95">
        <f>F95 / 'Reality Constants'!$B$5</f>
        <v>3.3544704106805412E-14</v>
      </c>
      <c r="N95">
        <v>4.4000000000000004</v>
      </c>
      <c r="O95" t="s">
        <v>404</v>
      </c>
      <c r="P95">
        <f>N95 / ((1000/C95) * 'Reality Constants'!$B$6)</f>
        <v>5.9121832613749598E-25</v>
      </c>
    </row>
    <row r="96" spans="1:16" x14ac:dyDescent="0.3">
      <c r="A96" t="s">
        <v>135</v>
      </c>
      <c r="B96" t="s">
        <v>142</v>
      </c>
      <c r="C96" s="2">
        <v>81.913482999999999</v>
      </c>
      <c r="D96">
        <v>11.6</v>
      </c>
      <c r="E96">
        <f>C96 * 'Reality Constants'!$B$2</f>
        <v>1.3602053879281425E-24</v>
      </c>
      <c r="F96">
        <f>E96 * ('Reality Constants'!$B$3 * 'Reality Constants'!$B$3)</f>
        <v>1.2224916365461402E-7</v>
      </c>
      <c r="G96">
        <f>F96 / 'Reality Constants'!$B$4</f>
        <v>76301926429.551208</v>
      </c>
      <c r="H96">
        <f>F96 / 'Reality Constants'!$B$5</f>
        <v>3.3958101015170561E-14</v>
      </c>
      <c r="N96">
        <v>1.4</v>
      </c>
      <c r="O96" t="s">
        <v>412</v>
      </c>
      <c r="P96">
        <f>N96 / ((1000/C96) * 'Reality Constants'!$B$6)</f>
        <v>1.904332052474261E-25</v>
      </c>
    </row>
    <row r="97" spans="1:16" x14ac:dyDescent="0.3">
      <c r="A97" t="s">
        <v>127</v>
      </c>
      <c r="B97" t="s">
        <v>143</v>
      </c>
      <c r="C97" s="2">
        <v>81.916708999999997</v>
      </c>
      <c r="D97">
        <v>9.4</v>
      </c>
      <c r="E97">
        <f>C97 * 'Reality Constants'!$B$2</f>
        <v>1.3602589569185058E-24</v>
      </c>
      <c r="F97">
        <f>E97 * ('Reality Constants'!$B$3 * 'Reality Constants'!$B$3)</f>
        <v>1.2225397819536487E-7</v>
      </c>
      <c r="G97">
        <f>F97 / 'Reality Constants'!$B$4</f>
        <v>76304931429.5298</v>
      </c>
      <c r="H97">
        <f>F97 / 'Reality Constants'!$B$5</f>
        <v>3.3959438387601355E-14</v>
      </c>
      <c r="N97">
        <v>30.37</v>
      </c>
      <c r="O97" t="s">
        <v>406</v>
      </c>
      <c r="P97">
        <f>N97 / ((1000/C97) * 'Reality Constants'!$B$6)</f>
        <v>4.131203009515111E-24</v>
      </c>
    </row>
    <row r="98" spans="1:16" x14ac:dyDescent="0.3">
      <c r="A98" t="s">
        <v>135</v>
      </c>
      <c r="B98" t="s">
        <v>144</v>
      </c>
      <c r="C98" s="2">
        <v>82.914134000000004</v>
      </c>
      <c r="D98">
        <v>11.5</v>
      </c>
      <c r="E98">
        <f>C98 * 'Reality Constants'!$B$2</f>
        <v>1.3768215887266813E-24</v>
      </c>
      <c r="F98">
        <f>E98 * ('Reality Constants'!$B$3 * 'Reality Constants'!$B$3)</f>
        <v>1.2374255330647576E-7</v>
      </c>
      <c r="G98">
        <f>F98 / 'Reality Constants'!$B$4</f>
        <v>77234026935.931305</v>
      </c>
      <c r="H98">
        <f>F98 / 'Reality Constants'!$B$5</f>
        <v>3.4372931474021045E-14</v>
      </c>
      <c r="N98">
        <v>1.4</v>
      </c>
      <c r="O98" t="s">
        <v>412</v>
      </c>
      <c r="P98">
        <f>N98 / ((1000/C98) * 'Reality Constants'!$B$6)</f>
        <v>1.927595277316506E-25</v>
      </c>
    </row>
    <row r="99" spans="1:16" x14ac:dyDescent="0.3">
      <c r="A99" t="s">
        <v>135</v>
      </c>
      <c r="B99" t="s">
        <v>145</v>
      </c>
      <c r="C99" s="2">
        <v>83.911506000000003</v>
      </c>
      <c r="D99">
        <v>57</v>
      </c>
      <c r="E99">
        <f>C99 * 'Reality Constants'!$B$2</f>
        <v>1.39338334044915E-24</v>
      </c>
      <c r="F99">
        <f>E99 * ('Reality Constants'!$B$3 * 'Reality Constants'!$B$3)</f>
        <v>1.2523104931942797E-7</v>
      </c>
      <c r="G99">
        <f>F99 / 'Reality Constants'!$B$4</f>
        <v>78163073073.145294</v>
      </c>
      <c r="H99">
        <f>F99 / 'Reality Constants'!$B$5</f>
        <v>3.4786402588729992E-14</v>
      </c>
      <c r="N99">
        <v>1.4</v>
      </c>
      <c r="O99" t="s">
        <v>412</v>
      </c>
      <c r="P99">
        <f>N99 / ((1000/C99) * 'Reality Constants'!$B$6)</f>
        <v>1.9507822716705414E-25</v>
      </c>
    </row>
    <row r="100" spans="1:16" x14ac:dyDescent="0.3">
      <c r="A100" t="s">
        <v>146</v>
      </c>
      <c r="B100" t="s">
        <v>147</v>
      </c>
      <c r="C100" s="2">
        <v>83.913427999999996</v>
      </c>
      <c r="D100">
        <v>0.56000000000000005</v>
      </c>
      <c r="E100">
        <f>C100 * 'Reality Constants'!$B$2</f>
        <v>1.3934152560100544E-24</v>
      </c>
      <c r="F100">
        <f>E100 * ('Reality Constants'!$B$3 * 'Reality Constants'!$B$3)</f>
        <v>1.2523391774699249E-7</v>
      </c>
      <c r="G100">
        <f>F100 / 'Reality Constants'!$B$4</f>
        <v>78164863404.812637</v>
      </c>
      <c r="H100">
        <f>F100 / 'Reality Constants'!$B$5</f>
        <v>3.478719937416458E-14</v>
      </c>
      <c r="N100">
        <v>5.4</v>
      </c>
      <c r="O100" t="s">
        <v>419</v>
      </c>
      <c r="P100">
        <f>N100 / ((1000/C100) * 'Reality Constants'!$B$6)</f>
        <v>7.5246182530720695E-25</v>
      </c>
    </row>
    <row r="101" spans="1:16" x14ac:dyDescent="0.3">
      <c r="A101" t="s">
        <v>148</v>
      </c>
      <c r="B101" t="s">
        <v>149</v>
      </c>
      <c r="C101" s="2">
        <v>84.911799999999999</v>
      </c>
      <c r="D101">
        <v>72.17</v>
      </c>
      <c r="E101">
        <f>C101 * 'Reality Constants'!$B$2</f>
        <v>1.4099936131232125E-24</v>
      </c>
      <c r="F101">
        <f>E101 * ('Reality Constants'!$B$3 * 'Reality Constants'!$B$3)</f>
        <v>1.2672390617803242E-7</v>
      </c>
      <c r="G101">
        <f>F101 / 'Reality Constants'!$B$4</f>
        <v>79094841036.130356</v>
      </c>
      <c r="H101">
        <f>F101 / 'Reality Constants'!$B$5</f>
        <v>3.5201085049453448E-14</v>
      </c>
      <c r="N101">
        <v>14720</v>
      </c>
      <c r="O101" t="s">
        <v>404</v>
      </c>
      <c r="P101">
        <f>N101 / ((1000/C101) * 'Reality Constants'!$B$6)</f>
        <v>2.075559109930256E-21</v>
      </c>
    </row>
    <row r="102" spans="1:16" x14ac:dyDescent="0.3">
      <c r="A102" t="s">
        <v>146</v>
      </c>
      <c r="B102" t="s">
        <v>150</v>
      </c>
      <c r="C102" s="2">
        <v>85.909272999999999</v>
      </c>
      <c r="D102">
        <v>9.86</v>
      </c>
      <c r="E102">
        <f>C102 * 'Reality Constants'!$B$2</f>
        <v>1.4265570419901409E-24</v>
      </c>
      <c r="F102">
        <f>E102 * ('Reality Constants'!$B$3 * 'Reality Constants'!$B$3)</f>
        <v>1.282125529252115E-7</v>
      </c>
      <c r="G102">
        <f>F102 / 'Reality Constants'!$B$4</f>
        <v>80023981254.248825</v>
      </c>
      <c r="H102">
        <f>F102 / 'Reality Constants'!$B$5</f>
        <v>3.561459803478097E-14</v>
      </c>
      <c r="N102">
        <v>5.4</v>
      </c>
      <c r="O102" t="s">
        <v>419</v>
      </c>
      <c r="P102">
        <f>N102 / ((1000/C102) * 'Reality Constants'!$B$6)</f>
        <v>7.7035880803719695E-25</v>
      </c>
    </row>
    <row r="103" spans="1:16" x14ac:dyDescent="0.3">
      <c r="A103" t="s">
        <v>135</v>
      </c>
      <c r="B103" t="s">
        <v>151</v>
      </c>
      <c r="C103" s="2">
        <v>85.910613999999995</v>
      </c>
      <c r="D103">
        <v>17.3</v>
      </c>
      <c r="E103">
        <f>C103 * 'Reality Constants'!$B$2</f>
        <v>1.4265793098190551E-24</v>
      </c>
      <c r="F103">
        <f>E103 * ('Reality Constants'!$B$3 * 'Reality Constants'!$B$3)</f>
        <v>1.2821455425786707E-7</v>
      </c>
      <c r="G103">
        <f>F103 / 'Reality Constants'!$B$4</f>
        <v>80025230387.841904</v>
      </c>
      <c r="H103">
        <f>F103 / 'Reality Constants'!$B$5</f>
        <v>3.5615153960518628E-14</v>
      </c>
      <c r="N103">
        <v>1.4</v>
      </c>
      <c r="O103" t="s">
        <v>412</v>
      </c>
      <c r="P103">
        <f>N103 / ((1000/C103) * 'Reality Constants'!$B$6)</f>
        <v>1.9972577150448355E-25</v>
      </c>
    </row>
    <row r="104" spans="1:16" x14ac:dyDescent="0.3">
      <c r="A104" t="s">
        <v>146</v>
      </c>
      <c r="B104" t="s">
        <v>152</v>
      </c>
      <c r="C104" s="2">
        <v>86.908901999999998</v>
      </c>
      <c r="D104">
        <v>7</v>
      </c>
      <c r="E104">
        <f>C104 * 'Reality Constants'!$B$2</f>
        <v>1.4431562720793951E-24</v>
      </c>
      <c r="F104">
        <f>E104 * ('Reality Constants'!$B$3 * 'Reality Constants'!$B$3)</f>
        <v>1.2970441732578762E-7</v>
      </c>
      <c r="G104">
        <f>F104 / 'Reality Constants'!$B$4</f>
        <v>80955129773.654907</v>
      </c>
      <c r="H104">
        <f>F104 / 'Reality Constants'!$B$5</f>
        <v>3.6029004812718787E-14</v>
      </c>
      <c r="N104">
        <v>5.4</v>
      </c>
      <c r="O104" t="s">
        <v>419</v>
      </c>
      <c r="P104">
        <f>N104 / ((1000/C104) * 'Reality Constants'!$B$6)</f>
        <v>7.7932260179342425E-25</v>
      </c>
    </row>
    <row r="105" spans="1:16" x14ac:dyDescent="0.3">
      <c r="A105" t="s">
        <v>148</v>
      </c>
      <c r="B105" t="s">
        <v>153</v>
      </c>
      <c r="C105" s="2">
        <v>86.909183999999996</v>
      </c>
      <c r="D105">
        <v>27.84</v>
      </c>
      <c r="E105">
        <f>C105 * 'Reality Constants'!$B$2</f>
        <v>1.4431609547995695E-24</v>
      </c>
      <c r="F105">
        <f>E105 * ('Reality Constants'!$B$3 * 'Reality Constants'!$B$3)</f>
        <v>1.2970483818768834E-7</v>
      </c>
      <c r="G105">
        <f>F105 / 'Reality Constants'!$B$4</f>
        <v>80955392454.992157</v>
      </c>
      <c r="H105">
        <f>F105 / 'Reality Constants'!$B$5</f>
        <v>3.6029121718802319E-14</v>
      </c>
      <c r="N105">
        <v>14720</v>
      </c>
      <c r="O105" t="s">
        <v>404</v>
      </c>
      <c r="P105">
        <f>N105 / ((1000/C105) * 'Reality Constants'!$B$6)</f>
        <v>2.1243825780139493E-21</v>
      </c>
    </row>
    <row r="106" spans="1:16" x14ac:dyDescent="0.3">
      <c r="A106" t="s">
        <v>146</v>
      </c>
      <c r="B106" t="s">
        <v>154</v>
      </c>
      <c r="C106" s="2">
        <v>87.905625000000001</v>
      </c>
      <c r="D106">
        <v>82.58</v>
      </c>
      <c r="E106">
        <f>C106 * 'Reality Constants'!$B$2</f>
        <v>1.4597072469033067E-24</v>
      </c>
      <c r="F106">
        <f>E106 * ('Reality Constants'!$B$3 * 'Reality Constants'!$B$3)</f>
        <v>1.3119194475940094E-7</v>
      </c>
      <c r="G106">
        <f>F106 / 'Reality Constants'!$B$4</f>
        <v>81883571371.195602</v>
      </c>
      <c r="H106">
        <f>F106 / 'Reality Constants'!$B$5</f>
        <v>3.6442206877611374E-14</v>
      </c>
      <c r="N106">
        <v>5.4</v>
      </c>
      <c r="O106" t="s">
        <v>419</v>
      </c>
      <c r="P106">
        <f>N106 / ((1000/C106) * 'Reality Constants'!$B$6)</f>
        <v>7.8826033709730996E-25</v>
      </c>
    </row>
    <row r="107" spans="1:16" x14ac:dyDescent="0.3">
      <c r="A107" t="s">
        <v>155</v>
      </c>
      <c r="B107" t="s">
        <v>156</v>
      </c>
      <c r="C107" s="2">
        <v>88.905856</v>
      </c>
      <c r="D107">
        <v>100</v>
      </c>
      <c r="E107">
        <f>C107 * 'Reality Constants'!$B$2</f>
        <v>1.476316473437756E-24</v>
      </c>
      <c r="F107">
        <f>E107 * ('Reality Constants'!$B$3 * 'Reality Constants'!$B$3)</f>
        <v>1.3268470759566586E-7</v>
      </c>
      <c r="G107">
        <f>F107 / 'Reality Constants'!$B$4</f>
        <v>82815280650.052124</v>
      </c>
      <c r="H107">
        <f>F107 / 'Reality Constants'!$B$5</f>
        <v>3.6856863221018293E-14</v>
      </c>
      <c r="N107">
        <v>35</v>
      </c>
      <c r="O107" t="s">
        <v>416</v>
      </c>
      <c r="P107">
        <f>N107 / ((1000/C107) * 'Reality Constants'!$B$6)</f>
        <v>5.1672284290933249E-24</v>
      </c>
    </row>
    <row r="108" spans="1:16" x14ac:dyDescent="0.3">
      <c r="A108" t="s">
        <v>157</v>
      </c>
      <c r="B108" t="s">
        <v>158</v>
      </c>
      <c r="C108" s="2">
        <v>89.904707999999999</v>
      </c>
      <c r="D108">
        <v>51.45</v>
      </c>
      <c r="E108">
        <f>C108 * 'Reality Constants'!$B$2</f>
        <v>1.4929028011384447E-24</v>
      </c>
      <c r="F108">
        <f>E108 * ('Reality Constants'!$B$3 * 'Reality Constants'!$B$3)</f>
        <v>1.3417541238738785E-7</v>
      </c>
      <c r="G108">
        <f>F108 / 'Reality Constants'!$B$4</f>
        <v>83745705398.539627</v>
      </c>
      <c r="H108">
        <f>F108 / 'Reality Constants'!$B$5</f>
        <v>3.7270947885385517E-14</v>
      </c>
      <c r="N108">
        <v>23.14</v>
      </c>
      <c r="O108" t="s">
        <v>406</v>
      </c>
      <c r="P108">
        <f>N108 / ((1000/C108) * 'Reality Constants'!$B$6)</f>
        <v>3.4546578265028233E-24</v>
      </c>
    </row>
    <row r="109" spans="1:16" x14ac:dyDescent="0.3">
      <c r="A109" t="s">
        <v>157</v>
      </c>
      <c r="B109" t="s">
        <v>159</v>
      </c>
      <c r="C109" s="2">
        <v>90.905643999999995</v>
      </c>
      <c r="D109">
        <v>11.27</v>
      </c>
      <c r="E109">
        <f>C109 * 'Reality Constants'!$B$2</f>
        <v>1.5095237344733297E-24</v>
      </c>
      <c r="F109">
        <f>E109 * ('Reality Constants'!$B$3 * 'Reality Constants'!$B$3)</f>
        <v>1.3566922737840458E-7</v>
      </c>
      <c r="G109">
        <f>F109 / 'Reality Constants'!$B$4</f>
        <v>84678071380.739273</v>
      </c>
      <c r="H109">
        <f>F109 / 'Reality Constants'!$B$5</f>
        <v>3.7685896494001273E-14</v>
      </c>
      <c r="N109">
        <v>23.14</v>
      </c>
      <c r="O109" t="s">
        <v>406</v>
      </c>
      <c r="P109">
        <f>N109 / ((1000/C109) * 'Reality Constants'!$B$6)</f>
        <v>3.4931195651942873E-24</v>
      </c>
    </row>
    <row r="110" spans="1:16" x14ac:dyDescent="0.3">
      <c r="A110" t="s">
        <v>157</v>
      </c>
      <c r="B110" t="s">
        <v>160</v>
      </c>
      <c r="C110" s="2">
        <v>91.905039000000002</v>
      </c>
      <c r="D110">
        <v>17.170000000000002</v>
      </c>
      <c r="E110">
        <f>C110 * 'Reality Constants'!$B$2</f>
        <v>1.526119078901163E-24</v>
      </c>
      <c r="F110">
        <f>E110 * ('Reality Constants'!$B$3 * 'Reality Constants'!$B$3)</f>
        <v>1.3716074255314823E-7</v>
      </c>
      <c r="G110">
        <f>F110 / 'Reality Constants'!$B$4</f>
        <v>85609001930.525116</v>
      </c>
      <c r="H110">
        <f>F110 / 'Reality Constants'!$B$5</f>
        <v>3.8100206264763395E-14</v>
      </c>
      <c r="N110">
        <v>23.14</v>
      </c>
      <c r="O110" t="s">
        <v>406</v>
      </c>
      <c r="P110">
        <f>N110 / ((1000/C110) * 'Reality Constants'!$B$6)</f>
        <v>3.5315220897708411E-24</v>
      </c>
    </row>
    <row r="111" spans="1:16" x14ac:dyDescent="0.3">
      <c r="A111" t="s">
        <v>161</v>
      </c>
      <c r="B111" t="s">
        <v>162</v>
      </c>
      <c r="C111" s="2">
        <v>91.906808999999996</v>
      </c>
      <c r="D111">
        <v>14.84</v>
      </c>
      <c r="E111">
        <f>C111 * 'Reality Constants'!$B$2</f>
        <v>1.5261484704426826E-24</v>
      </c>
      <c r="F111">
        <f>E111 * ('Reality Constants'!$B$3 * 'Reality Constants'!$B$3)</f>
        <v>1.3716338413316341E-7</v>
      </c>
      <c r="G111">
        <f>F111 / 'Reality Constants'!$B$4</f>
        <v>85610650675.088669</v>
      </c>
      <c r="H111">
        <f>F111 / 'Reality Constants'!$B$5</f>
        <v>3.8100940036989837E-14</v>
      </c>
      <c r="N111">
        <v>16</v>
      </c>
      <c r="O111" t="s">
        <v>414</v>
      </c>
      <c r="P111">
        <f>N111 / ((1000/C111) * 'Reality Constants'!$B$6)</f>
        <v>2.4418946263699768E-24</v>
      </c>
    </row>
    <row r="112" spans="1:16" x14ac:dyDescent="0.3">
      <c r="A112" t="s">
        <v>163</v>
      </c>
      <c r="B112" t="s">
        <v>164</v>
      </c>
      <c r="C112" s="2">
        <v>92.906378000000004</v>
      </c>
      <c r="D112">
        <v>100</v>
      </c>
      <c r="E112">
        <f>C112 * 'Reality Constants'!$B$2</f>
        <v>1.5427467042084958E-24</v>
      </c>
      <c r="F112">
        <f>E112 * ('Reality Constants'!$B$3 * 'Reality Constants'!$B$3)</f>
        <v>1.386551589886543E-7</v>
      </c>
      <c r="G112">
        <f>F112 / 'Reality Constants'!$B$4</f>
        <v>86541743304.848557</v>
      </c>
      <c r="H112">
        <f>F112 / 'Reality Constants'!$B$5</f>
        <v>3.8515321941292863E-14</v>
      </c>
      <c r="N112">
        <v>42</v>
      </c>
      <c r="O112" t="s">
        <v>404</v>
      </c>
      <c r="P112">
        <f>N112 / ((1000/C112) * 'Reality Constants'!$B$6)</f>
        <v>6.479687605446696E-24</v>
      </c>
    </row>
    <row r="113" spans="1:16" x14ac:dyDescent="0.3">
      <c r="A113" t="s">
        <v>161</v>
      </c>
      <c r="B113" t="s">
        <v>165</v>
      </c>
      <c r="C113" s="2">
        <v>93.905085999999997</v>
      </c>
      <c r="D113">
        <v>9.25</v>
      </c>
      <c r="E113">
        <f>C113 * 'Reality Constants'!$B$2</f>
        <v>1.5593306407329252E-24</v>
      </c>
      <c r="F113">
        <f>E113 * ('Reality Constants'!$B$3 * 'Reality Constants'!$B$3)</f>
        <v>1.4014564887217165E-7</v>
      </c>
      <c r="G113">
        <f>F113 / 'Reality Constants'!$B$4</f>
        <v>87472033918.185104</v>
      </c>
      <c r="H113">
        <f>F113 / 'Reality Constants'!$B$5</f>
        <v>3.8929346908936569E-14</v>
      </c>
      <c r="N113">
        <v>16</v>
      </c>
      <c r="O113" t="s">
        <v>414</v>
      </c>
      <c r="P113">
        <f>N113 / ((1000/C113) * 'Reality Constants'!$B$6)</f>
        <v>2.4949873397542343E-24</v>
      </c>
    </row>
    <row r="114" spans="1:16" x14ac:dyDescent="0.3">
      <c r="A114" t="s">
        <v>157</v>
      </c>
      <c r="B114" t="s">
        <v>166</v>
      </c>
      <c r="C114" s="2">
        <v>93.906318999999996</v>
      </c>
      <c r="D114">
        <v>17.329999999999998</v>
      </c>
      <c r="E114">
        <f>C114 * 'Reality Constants'!$B$2</f>
        <v>1.5593511151796451E-24</v>
      </c>
      <c r="F114">
        <f>E114 * ('Reality Constants'!$B$3 * 'Reality Constants'!$B$3)</f>
        <v>1.4014748902367377E-7</v>
      </c>
      <c r="G114">
        <f>F114 / 'Reality Constants'!$B$4</f>
        <v>87473182450.414993</v>
      </c>
      <c r="H114">
        <f>F114 / 'Reality Constants'!$B$5</f>
        <v>3.8929858062131605E-14</v>
      </c>
      <c r="N114">
        <v>23.14</v>
      </c>
      <c r="O114" t="s">
        <v>406</v>
      </c>
      <c r="P114">
        <f>N114 / ((1000/C114) * 'Reality Constants'!$B$6)</f>
        <v>3.6084228190966459E-24</v>
      </c>
    </row>
    <row r="115" spans="1:16" x14ac:dyDescent="0.3">
      <c r="A115" t="s">
        <v>161</v>
      </c>
      <c r="B115" t="s">
        <v>167</v>
      </c>
      <c r="C115" s="2">
        <v>94.905838000000003</v>
      </c>
      <c r="D115">
        <v>15.92</v>
      </c>
      <c r="E115">
        <f>C115 * 'Reality Constants'!$B$2</f>
        <v>1.5759485186759236E-24</v>
      </c>
      <c r="F115">
        <f>E115 * ('Reality Constants'!$B$3 * 'Reality Constants'!$B$3)</f>
        <v>1.4163918925826025E-7</v>
      </c>
      <c r="G115">
        <f>F115 / 'Reality Constants'!$B$4</f>
        <v>88404228505.469666</v>
      </c>
      <c r="H115">
        <f>F115 / 'Reality Constants'!$B$5</f>
        <v>3.9344219238405627E-14</v>
      </c>
      <c r="N115">
        <v>16</v>
      </c>
      <c r="O115" t="s">
        <v>414</v>
      </c>
      <c r="P115">
        <f>N115 / ((1000/C115) * 'Reality Constants'!$B$6)</f>
        <v>2.5215765659249417E-24</v>
      </c>
    </row>
    <row r="116" spans="1:16" x14ac:dyDescent="0.3">
      <c r="A116" t="s">
        <v>161</v>
      </c>
      <c r="B116" t="s">
        <v>168</v>
      </c>
      <c r="C116" s="2">
        <v>95.904675999999995</v>
      </c>
      <c r="D116">
        <v>16.68</v>
      </c>
      <c r="E116">
        <f>C116 * 'Reality Constants'!$B$2</f>
        <v>1.5925346139011426E-24</v>
      </c>
      <c r="F116">
        <f>E116 * ('Reality Constants'!$B$3 * 'Reality Constants'!$B$3)</f>
        <v>1.4312987315612903E-7</v>
      </c>
      <c r="G116">
        <f>F116 / 'Reality Constants'!$B$4</f>
        <v>89334640213.039719</v>
      </c>
      <c r="H116">
        <f>F116 / 'Reality Constants'!$B$5</f>
        <v>3.9758298098924732E-14</v>
      </c>
      <c r="N116">
        <v>16</v>
      </c>
      <c r="O116" t="s">
        <v>414</v>
      </c>
      <c r="P116">
        <f>N116 / ((1000/C116) * 'Reality Constants'!$B$6)</f>
        <v>2.5481149385586185E-24</v>
      </c>
    </row>
    <row r="117" spans="1:16" x14ac:dyDescent="0.3">
      <c r="A117" t="s">
        <v>169</v>
      </c>
      <c r="B117" t="s">
        <v>170</v>
      </c>
      <c r="C117" s="2">
        <v>95.907595999999998</v>
      </c>
      <c r="D117">
        <v>5.52</v>
      </c>
      <c r="E117">
        <f>C117 * 'Reality Constants'!$B$2</f>
        <v>1.5925831016419551E-24</v>
      </c>
      <c r="F117">
        <f>E117 * ('Reality Constants'!$B$3 * 'Reality Constants'!$B$3)</f>
        <v>1.4313423101694506E-7</v>
      </c>
      <c r="G117">
        <f>F117 / 'Reality Constants'!$B$4</f>
        <v>89337360175.822571</v>
      </c>
      <c r="H117">
        <f>F117 / 'Reality Constants'!$B$5</f>
        <v>3.9759508615818074E-14</v>
      </c>
      <c r="N117">
        <v>3054</v>
      </c>
      <c r="O117" t="s">
        <v>413</v>
      </c>
      <c r="P117">
        <f>N117 / ((1000/C117) * 'Reality Constants'!$B$6)</f>
        <v>4.8638624739953507E-22</v>
      </c>
    </row>
    <row r="118" spans="1:16" x14ac:dyDescent="0.3">
      <c r="A118" t="s">
        <v>157</v>
      </c>
      <c r="B118" t="s">
        <v>171</v>
      </c>
      <c r="C118" s="2">
        <v>95.908271999999997</v>
      </c>
      <c r="D118">
        <v>2.78</v>
      </c>
      <c r="E118">
        <f>C118 * 'Reality Constants'!$B$2</f>
        <v>1.592594326886061E-24</v>
      </c>
      <c r="F118">
        <f>E118 * ('Reality Constants'!$B$3 * 'Reality Constants'!$B$3)</f>
        <v>1.4313523989157236E-7</v>
      </c>
      <c r="G118">
        <f>F118 / 'Reality Constants'!$B$4</f>
        <v>89337989865.8367</v>
      </c>
      <c r="H118">
        <f>F118 / 'Reality Constants'!$B$5</f>
        <v>3.9759788858770099E-14</v>
      </c>
      <c r="N118">
        <v>23.14</v>
      </c>
      <c r="O118" t="s">
        <v>406</v>
      </c>
      <c r="P118">
        <f>N118 / ((1000/C118) * 'Reality Constants'!$B$6)</f>
        <v>3.6853494089671208E-24</v>
      </c>
    </row>
    <row r="119" spans="1:16" x14ac:dyDescent="0.3">
      <c r="A119" t="s">
        <v>161</v>
      </c>
      <c r="B119" t="s">
        <v>172</v>
      </c>
      <c r="C119" s="2">
        <v>96.906018000000003</v>
      </c>
      <c r="D119">
        <v>9.5500000000000007</v>
      </c>
      <c r="E119">
        <f>C119 * 'Reality Constants'!$B$2</f>
        <v>1.6091622890246476E-24</v>
      </c>
      <c r="F119">
        <f>E119 * ('Reality Constants'!$B$3 * 'Reality Constants'!$B$3)</f>
        <v>1.4462429406888937E-7</v>
      </c>
      <c r="G119">
        <f>F119 / 'Reality Constants'!$B$4</f>
        <v>90267384381.845474</v>
      </c>
      <c r="H119">
        <f>F119 / 'Reality Constants'!$B$5</f>
        <v>4.0173415019135933E-14</v>
      </c>
      <c r="N119">
        <v>16</v>
      </c>
      <c r="O119" t="s">
        <v>414</v>
      </c>
      <c r="P119">
        <f>N119 / ((1000/C119) * 'Reality Constants'!$B$6)</f>
        <v>2.5747198405845238E-24</v>
      </c>
    </row>
    <row r="120" spans="1:16" x14ac:dyDescent="0.3">
      <c r="A120" t="s">
        <v>169</v>
      </c>
      <c r="B120" t="s">
        <v>173</v>
      </c>
      <c r="C120" s="2">
        <v>97.905287000000001</v>
      </c>
      <c r="D120">
        <v>1.88</v>
      </c>
      <c r="E120">
        <f>C120 * 'Reality Constants'!$B$2</f>
        <v>1.6257555411732539E-24</v>
      </c>
      <c r="F120">
        <f>E120 * ('Reality Constants'!$B$3 * 'Reality Constants'!$B$3)</f>
        <v>1.4611562119895394E-7</v>
      </c>
      <c r="G120">
        <f>F120 / 'Reality Constants'!$B$4</f>
        <v>91198197563.374237</v>
      </c>
      <c r="H120">
        <f>F120 / 'Reality Constants'!$B$5</f>
        <v>4.0587672555264982E-14</v>
      </c>
      <c r="N120">
        <v>3054</v>
      </c>
      <c r="O120" t="s">
        <v>413</v>
      </c>
      <c r="P120">
        <f>N120 / ((1000/C120) * 'Reality Constants'!$B$6)</f>
        <v>4.9651734722351387E-22</v>
      </c>
    </row>
    <row r="121" spans="1:16" x14ac:dyDescent="0.3">
      <c r="A121" t="s">
        <v>161</v>
      </c>
      <c r="B121" t="s">
        <v>174</v>
      </c>
      <c r="C121" s="2">
        <v>97.905405000000002</v>
      </c>
      <c r="D121">
        <v>24.13</v>
      </c>
      <c r="E121">
        <f>C121 * 'Reality Constants'!$B$2</f>
        <v>1.6257575006093552E-24</v>
      </c>
      <c r="F121">
        <f>E121 * ('Reality Constants'!$B$3 * 'Reality Constants'!$B$3)</f>
        <v>1.4611579730428829E-7</v>
      </c>
      <c r="G121">
        <f>F121 / 'Reality Constants'!$B$4</f>
        <v>91198307479.678467</v>
      </c>
      <c r="H121">
        <f>F121 / 'Reality Constants'!$B$5</f>
        <v>4.0587721473413416E-14</v>
      </c>
      <c r="N121">
        <v>16</v>
      </c>
      <c r="O121" t="s">
        <v>414</v>
      </c>
      <c r="P121">
        <f>N121 / ((1000/C121) * 'Reality Constants'!$B$6)</f>
        <v>2.6012727997343075E-24</v>
      </c>
    </row>
    <row r="122" spans="1:16" x14ac:dyDescent="0.3">
      <c r="A122" t="s">
        <v>169</v>
      </c>
      <c r="B122" t="s">
        <v>175</v>
      </c>
      <c r="C122" s="2">
        <v>98.905936999999994</v>
      </c>
      <c r="D122">
        <v>12.7</v>
      </c>
      <c r="E122">
        <f>C122 * 'Reality Constants'!$B$2</f>
        <v>1.6423717253664017E-24</v>
      </c>
      <c r="F122">
        <f>E122 * ('Reality Constants'!$B$3 * 'Reality Constants'!$B$3)</f>
        <v>1.476090093583976E-7</v>
      </c>
      <c r="G122">
        <f>F122 / 'Reality Constants'!$B$4</f>
        <v>92130297138.260223</v>
      </c>
      <c r="H122">
        <f>F122 / 'Reality Constants'!$B$5</f>
        <v>4.1002502599554886E-14</v>
      </c>
      <c r="N122">
        <v>3054</v>
      </c>
      <c r="O122" t="s">
        <v>413</v>
      </c>
      <c r="P122">
        <f>N122 / ((1000/C122) * 'Reality Constants'!$B$6)</f>
        <v>5.0159204848555303E-22</v>
      </c>
    </row>
    <row r="123" spans="1:16" x14ac:dyDescent="0.3">
      <c r="A123" t="s">
        <v>169</v>
      </c>
      <c r="B123" t="s">
        <v>176</v>
      </c>
      <c r="C123" s="2">
        <v>99.904218</v>
      </c>
      <c r="D123">
        <v>12.6</v>
      </c>
      <c r="E123">
        <f>C123 * 'Reality Constants'!$B$2</f>
        <v>1.658948571389007E-24</v>
      </c>
      <c r="F123">
        <f>E123 * ('Reality Constants'!$B$3 * 'Reality Constants'!$B$3)</f>
        <v>1.4909886197939151E-7</v>
      </c>
      <c r="G123">
        <f>F123 / 'Reality Constants'!$B$4</f>
        <v>93060190003.614487</v>
      </c>
      <c r="H123">
        <f>F123 / 'Reality Constants'!$B$5</f>
        <v>4.1416350549830973E-14</v>
      </c>
      <c r="N123">
        <v>3054</v>
      </c>
      <c r="O123" t="s">
        <v>413</v>
      </c>
      <c r="P123">
        <f>N123 / ((1000/C123) * 'Reality Constants'!$B$6)</f>
        <v>5.0665473558950521E-22</v>
      </c>
    </row>
    <row r="124" spans="1:16" x14ac:dyDescent="0.3">
      <c r="A124" t="s">
        <v>161</v>
      </c>
      <c r="B124" t="s">
        <v>177</v>
      </c>
      <c r="C124" s="2">
        <v>99.907472999999996</v>
      </c>
      <c r="D124">
        <v>9.6300000000000008</v>
      </c>
      <c r="E124">
        <f>C124 * 'Reality Constants'!$B$2</f>
        <v>1.6590026219357002E-24</v>
      </c>
      <c r="F124">
        <f>E124 * ('Reality Constants'!$B$3 * 'Reality Constants'!$B$3)</f>
        <v>1.4910371980026693E-7</v>
      </c>
      <c r="G124">
        <f>F124 / 'Reality Constants'!$B$4</f>
        <v>93063222016.922089</v>
      </c>
      <c r="H124">
        <f>F124 / 'Reality Constants'!$B$5</f>
        <v>4.1417699944518591E-14</v>
      </c>
      <c r="N124">
        <v>16</v>
      </c>
      <c r="O124" t="s">
        <v>414</v>
      </c>
      <c r="P124">
        <f>N124 / ((1000/C124) * 'Reality Constants'!$B$6)</f>
        <v>2.6544662371305212E-24</v>
      </c>
    </row>
    <row r="125" spans="1:16" x14ac:dyDescent="0.3">
      <c r="A125" t="s">
        <v>169</v>
      </c>
      <c r="B125" t="s">
        <v>178</v>
      </c>
      <c r="C125" s="2">
        <v>100.905581</v>
      </c>
      <c r="D125">
        <v>17</v>
      </c>
      <c r="E125">
        <f>C125 * 'Reality Constants'!$B$2</f>
        <v>1.6755765952257164E-24</v>
      </c>
      <c r="F125">
        <f>E125 * ('Reality Constants'!$B$3 * 'Reality Constants'!$B$3)</f>
        <v>1.5059331423293171E-7</v>
      </c>
      <c r="G125">
        <f>F125 / 'Reality Constants'!$B$4</f>
        <v>93992953733.796432</v>
      </c>
      <c r="H125">
        <f>F125 / 'Reality Constants'!$B$5</f>
        <v>4.1831476175814367E-14</v>
      </c>
      <c r="N125">
        <v>3054</v>
      </c>
      <c r="O125" t="s">
        <v>413</v>
      </c>
      <c r="P125">
        <f>N125 / ((1000/C125) * 'Reality Constants'!$B$6)</f>
        <v>5.1173305276320164E-22</v>
      </c>
    </row>
    <row r="126" spans="1:16" x14ac:dyDescent="0.3">
      <c r="A126" t="s">
        <v>169</v>
      </c>
      <c r="B126" t="s">
        <v>179</v>
      </c>
      <c r="C126" s="2">
        <v>101.904348</v>
      </c>
      <c r="D126">
        <v>31.6</v>
      </c>
      <c r="E126">
        <f>C126 * 'Reality Constants'!$B$2</f>
        <v>1.6921615114681968E-24</v>
      </c>
      <c r="F126">
        <f>E126 * ('Reality Constants'!$B$3 * 'Reality Constants'!$B$3)</f>
        <v>1.5208389216911625E-7</v>
      </c>
      <c r="G126">
        <f>F126 / 'Reality Constants'!$B$4</f>
        <v>94923299305.28511</v>
      </c>
      <c r="H126">
        <f>F126 / 'Reality Constants'!$B$5</f>
        <v>4.2245525602532288E-14</v>
      </c>
      <c r="N126">
        <v>3054</v>
      </c>
      <c r="O126" t="s">
        <v>413</v>
      </c>
      <c r="P126">
        <f>N126 / ((1000/C126) * 'Reality Constants'!$B$6)</f>
        <v>5.1679820456991044E-22</v>
      </c>
    </row>
    <row r="127" spans="1:16" x14ac:dyDescent="0.3">
      <c r="A127" t="s">
        <v>180</v>
      </c>
      <c r="B127" t="s">
        <v>181</v>
      </c>
      <c r="C127" s="2">
        <v>101.905609</v>
      </c>
      <c r="D127">
        <v>1.02</v>
      </c>
      <c r="E127">
        <f>C127 * 'Reality Constants'!$B$2</f>
        <v>1.6921824508658556E-24</v>
      </c>
      <c r="F127">
        <f>E127 * ('Reality Constants'!$B$3 * 'Reality Constants'!$B$3)</f>
        <v>1.5208577410832482E-7</v>
      </c>
      <c r="G127">
        <f>F127 / 'Reality Constants'!$B$4</f>
        <v>94924473919.349899</v>
      </c>
      <c r="H127">
        <f>F127 / 'Reality Constants'!$B$5</f>
        <v>4.2246048363423563E-14</v>
      </c>
      <c r="N127">
        <v>34401</v>
      </c>
      <c r="O127" t="s">
        <v>417</v>
      </c>
      <c r="P127">
        <f>N127 / ((1000/C127) * 'Reality Constants'!$B$6)</f>
        <v>5.821412911340087E-21</v>
      </c>
    </row>
    <row r="128" spans="1:16" x14ac:dyDescent="0.3">
      <c r="A128" t="s">
        <v>182</v>
      </c>
      <c r="B128" t="s">
        <v>183</v>
      </c>
      <c r="C128" s="2">
        <v>102.905503</v>
      </c>
      <c r="D128">
        <v>100</v>
      </c>
      <c r="E128">
        <f>C128 * 'Reality Constants'!$B$2</f>
        <v>1.7087860813836425E-24</v>
      </c>
      <c r="F128">
        <f>E128 * ('Reality Constants'!$B$3 * 'Reality Constants'!$B$3)</f>
        <v>1.5357803399969419E-7</v>
      </c>
      <c r="G128">
        <f>F128 / 'Reality Constants'!$B$4</f>
        <v>95855869284.693466</v>
      </c>
      <c r="H128">
        <f>F128 / 'Reality Constants'!$B$5</f>
        <v>4.2660564999915053E-14</v>
      </c>
      <c r="N128">
        <v>76840</v>
      </c>
      <c r="O128" t="s">
        <v>417</v>
      </c>
      <c r="P128">
        <f>N128 / ((1000/C128) * 'Reality Constants'!$B$6)</f>
        <v>1.3130619147326469E-20</v>
      </c>
    </row>
    <row r="129" spans="1:16" x14ac:dyDescent="0.3">
      <c r="A129" t="s">
        <v>180</v>
      </c>
      <c r="B129" t="s">
        <v>184</v>
      </c>
      <c r="C129" s="2">
        <v>103.904026</v>
      </c>
      <c r="D129">
        <v>11.14</v>
      </c>
      <c r="E129">
        <f>C129 * 'Reality Constants'!$B$2</f>
        <v>1.7253669459107946E-24</v>
      </c>
      <c r="F129">
        <f>E129 * ('Reality Constants'!$B$3 * 'Reality Constants'!$B$3)</f>
        <v>1.5506824778586533E-7</v>
      </c>
      <c r="G129">
        <f>F129 / 'Reality Constants'!$B$4</f>
        <v>96785987571.62085</v>
      </c>
      <c r="H129">
        <f>F129 / 'Reality Constants'!$B$5</f>
        <v>4.3074513273851481E-14</v>
      </c>
      <c r="N129">
        <v>34401</v>
      </c>
      <c r="O129" t="s">
        <v>417</v>
      </c>
      <c r="P129">
        <f>N129 / ((1000/C129) * 'Reality Constants'!$B$6)</f>
        <v>5.9355735609863838E-21</v>
      </c>
    </row>
    <row r="130" spans="1:16" x14ac:dyDescent="0.3">
      <c r="A130" t="s">
        <v>169</v>
      </c>
      <c r="B130" t="s">
        <v>185</v>
      </c>
      <c r="C130" s="2">
        <v>103.905422</v>
      </c>
      <c r="D130">
        <v>18.7</v>
      </c>
      <c r="E130">
        <f>C130 * 'Reality Constants'!$B$2</f>
        <v>1.7253901270361968E-24</v>
      </c>
      <c r="F130">
        <f>E130 * ('Reality Constants'!$B$3 * 'Reality Constants'!$B$3)</f>
        <v>1.5507033120151574E-7</v>
      </c>
      <c r="G130">
        <f>F130 / 'Reality Constants'!$B$4</f>
        <v>96787287937.389633</v>
      </c>
      <c r="H130">
        <f>F130 / 'Reality Constants'!$B$5</f>
        <v>4.3075092000421035E-14</v>
      </c>
      <c r="N130">
        <v>3054</v>
      </c>
      <c r="O130" t="s">
        <v>413</v>
      </c>
      <c r="P130">
        <f>N130 / ((1000/C130) * 'Reality Constants'!$B$6)</f>
        <v>5.2694646095649291E-22</v>
      </c>
    </row>
    <row r="131" spans="1:16" x14ac:dyDescent="0.3">
      <c r="A131" t="s">
        <v>180</v>
      </c>
      <c r="B131" t="s">
        <v>186</v>
      </c>
      <c r="C131" s="2">
        <v>104.905075</v>
      </c>
      <c r="D131">
        <v>22.33</v>
      </c>
      <c r="E131">
        <f>C131 * 'Reality Constants'!$B$2</f>
        <v>1.7419897556548276E-24</v>
      </c>
      <c r="F131">
        <f>E131 * ('Reality Constants'!$B$3 * 'Reality Constants'!$B$3)</f>
        <v>1.5656223142012597E-7</v>
      </c>
      <c r="G131">
        <f>F131 / 'Reality Constants'!$B$4</f>
        <v>97718458812.654205</v>
      </c>
      <c r="H131">
        <f>F131 / 'Reality Constants'!$B$5</f>
        <v>4.3489508727812771E-14</v>
      </c>
      <c r="N131">
        <v>34401</v>
      </c>
      <c r="O131" t="s">
        <v>417</v>
      </c>
      <c r="P131">
        <f>N131 / ((1000/C131) * 'Reality Constants'!$B$6)</f>
        <v>5.9927590253653274E-21</v>
      </c>
    </row>
    <row r="132" spans="1:16" x14ac:dyDescent="0.3">
      <c r="A132" t="s">
        <v>180</v>
      </c>
      <c r="B132" t="s">
        <v>187</v>
      </c>
      <c r="C132" s="2">
        <v>105.903475</v>
      </c>
      <c r="D132">
        <v>27.33</v>
      </c>
      <c r="E132">
        <f>C132 * 'Reality Constants'!$B$2</f>
        <v>1.758568577718925E-24</v>
      </c>
      <c r="F132">
        <f>E132 * ('Reality Constants'!$B$3 * 'Reality Constants'!$B$3)</f>
        <v>1.5805226163887236E-7</v>
      </c>
      <c r="G132">
        <f>F132 / 'Reality Constants'!$B$4</f>
        <v>98648462525.806839</v>
      </c>
      <c r="H132">
        <f>F132 / 'Reality Constants'!$B$5</f>
        <v>4.3903406010797878E-14</v>
      </c>
      <c r="N132">
        <v>34401</v>
      </c>
      <c r="O132" t="s">
        <v>417</v>
      </c>
      <c r="P132">
        <f>N132 / ((1000/C132) * 'Reality Constants'!$B$6)</f>
        <v>6.0497931641896388E-21</v>
      </c>
    </row>
    <row r="133" spans="1:16" x14ac:dyDescent="0.3">
      <c r="A133" t="s">
        <v>188</v>
      </c>
      <c r="B133" t="s">
        <v>189</v>
      </c>
      <c r="C133" s="2">
        <v>105.90646099999999</v>
      </c>
      <c r="D133">
        <v>1.25</v>
      </c>
      <c r="E133">
        <f>C133 * 'Reality Constants'!$B$2</f>
        <v>1.7586181614155228E-24</v>
      </c>
      <c r="F133">
        <f>E133 * ('Reality Constants'!$B$3 * 'Reality Constants'!$B$3)</f>
        <v>1.5805671799928217E-7</v>
      </c>
      <c r="G133">
        <f>F133 / 'Reality Constants'!$B$4</f>
        <v>98651243967.200531</v>
      </c>
      <c r="H133">
        <f>F133 / 'Reality Constants'!$B$5</f>
        <v>4.390464388868949E-14</v>
      </c>
      <c r="N133">
        <v>1.98</v>
      </c>
      <c r="O133" t="s">
        <v>406</v>
      </c>
      <c r="P133">
        <f>N133 / ((1000/C133) * 'Reality Constants'!$B$6)</f>
        <v>3.4821453467286621E-25</v>
      </c>
    </row>
    <row r="134" spans="1:16" x14ac:dyDescent="0.3">
      <c r="A134" t="s">
        <v>190</v>
      </c>
      <c r="B134" t="s">
        <v>191</v>
      </c>
      <c r="C134" s="2">
        <v>106.905095</v>
      </c>
      <c r="D134">
        <v>51.84</v>
      </c>
      <c r="E134">
        <f>C134 * 'Reality Constants'!$B$2</f>
        <v>1.7752008691410415E-24</v>
      </c>
      <c r="F134">
        <f>E134 * ('Reality Constants'!$B$3 * 'Reality Constants'!$B$3)</f>
        <v>1.5954709744386107E-7</v>
      </c>
      <c r="G134">
        <f>F134 / 'Reality Constants'!$B$4</f>
        <v>99581465649.973434</v>
      </c>
      <c r="H134">
        <f>F134 / 'Reality Constants'!$B$5</f>
        <v>4.4318638178850298E-14</v>
      </c>
      <c r="N134">
        <v>462</v>
      </c>
      <c r="O134" t="s">
        <v>417</v>
      </c>
      <c r="P134">
        <f>N134 / ((1000/C134) * 'Reality Constants'!$B$6)</f>
        <v>8.2016197093988718E-23</v>
      </c>
    </row>
    <row r="135" spans="1:16" x14ac:dyDescent="0.3">
      <c r="A135" t="s">
        <v>180</v>
      </c>
      <c r="B135" t="s">
        <v>192</v>
      </c>
      <c r="C135" s="2">
        <v>107.90389399999999</v>
      </c>
      <c r="D135">
        <v>26.46</v>
      </c>
      <c r="E135">
        <f>C135 * 'Reality Constants'!$B$2</f>
        <v>1.7917863167560237E-24</v>
      </c>
      <c r="F135">
        <f>E135 * ('Reality Constants'!$B$3 * 'Reality Constants'!$B$3)</f>
        <v>1.6103772313742442E-7</v>
      </c>
      <c r="G135">
        <f>F135 / 'Reality Constants'!$B$4</f>
        <v>100511841029.27344</v>
      </c>
      <c r="H135">
        <f>F135 / 'Reality Constants'!$B$5</f>
        <v>4.4732700871506785E-14</v>
      </c>
      <c r="N135">
        <v>34401</v>
      </c>
      <c r="O135" t="s">
        <v>417</v>
      </c>
      <c r="P135">
        <f>N135 / ((1000/C135) * 'Reality Constants'!$B$6)</f>
        <v>6.1640681791663905E-21</v>
      </c>
    </row>
    <row r="136" spans="1:16" x14ac:dyDescent="0.3">
      <c r="A136" t="s">
        <v>188</v>
      </c>
      <c r="B136" t="s">
        <v>193</v>
      </c>
      <c r="C136" s="2">
        <v>107.904186</v>
      </c>
      <c r="D136">
        <v>0.89</v>
      </c>
      <c r="E136">
        <f>C136 * 'Reality Constants'!$B$2</f>
        <v>1.7917911655301048E-24</v>
      </c>
      <c r="F136">
        <f>E136 * ('Reality Constants'!$B$3 * 'Reality Constants'!$B$3)</f>
        <v>1.61038158923506E-7</v>
      </c>
      <c r="G136">
        <f>F136 / 'Reality Constants'!$B$4</f>
        <v>100512113025.55171</v>
      </c>
      <c r="H136">
        <f>F136 / 'Reality Constants'!$B$5</f>
        <v>4.473282192319611E-14</v>
      </c>
      <c r="N136">
        <v>1.98</v>
      </c>
      <c r="O136" t="s">
        <v>406</v>
      </c>
      <c r="P136">
        <f>N136 / ((1000/C136) * 'Reality Constants'!$B$6)</f>
        <v>3.5478294300896708E-25</v>
      </c>
    </row>
    <row r="137" spans="1:16" x14ac:dyDescent="0.3">
      <c r="A137" t="s">
        <v>190</v>
      </c>
      <c r="B137" t="s">
        <v>194</v>
      </c>
      <c r="C137" s="2">
        <v>108.904754</v>
      </c>
      <c r="D137">
        <v>48.16</v>
      </c>
      <c r="E137">
        <f>C137 * 'Reality Constants'!$B$2</f>
        <v>1.8084059880812164E-24</v>
      </c>
      <c r="F137">
        <f>E137 * ('Reality Constants'!$B$3 * 'Reality Constants'!$B$3)</f>
        <v>1.625314247046665E-7</v>
      </c>
      <c r="G137">
        <f>F137 / 'Reality Constants'!$B$4</f>
        <v>101444136217.9212</v>
      </c>
      <c r="H137">
        <f>F137 / 'Reality Constants'!$B$5</f>
        <v>4.5147617973518471E-14</v>
      </c>
      <c r="N137">
        <v>462</v>
      </c>
      <c r="O137" t="s">
        <v>417</v>
      </c>
      <c r="P137">
        <f>N137 / ((1000/C137) * 'Reality Constants'!$B$6)</f>
        <v>8.3550309445367E-23</v>
      </c>
    </row>
    <row r="138" spans="1:16" x14ac:dyDescent="0.3">
      <c r="A138" t="s">
        <v>188</v>
      </c>
      <c r="B138" t="s">
        <v>195</v>
      </c>
      <c r="C138" s="2">
        <v>109.903007</v>
      </c>
      <c r="D138">
        <v>12.49</v>
      </c>
      <c r="E138">
        <f>C138 * 'Reality Constants'!$B$2</f>
        <v>1.8249823691528826E-24</v>
      </c>
      <c r="F138">
        <f>E138 * ('Reality Constants'!$B$3 * 'Reality Constants'!$B$3)</f>
        <v>1.6402123553795398E-7</v>
      </c>
      <c r="G138">
        <f>F138 / 'Reality Constants'!$B$4</f>
        <v>102374003001.44058</v>
      </c>
      <c r="H138">
        <f>F138 / 'Reality Constants'!$B$5</f>
        <v>4.5561454316098326E-14</v>
      </c>
      <c r="N138">
        <v>1.98</v>
      </c>
      <c r="O138" t="s">
        <v>406</v>
      </c>
      <c r="P138">
        <f>N138 / ((1000/C138) * 'Reality Constants'!$B$6)</f>
        <v>3.6135495493191637E-25</v>
      </c>
    </row>
    <row r="139" spans="1:16" x14ac:dyDescent="0.3">
      <c r="A139" t="s">
        <v>180</v>
      </c>
      <c r="B139" t="s">
        <v>196</v>
      </c>
      <c r="C139" s="2">
        <v>109.905169</v>
      </c>
      <c r="D139">
        <v>11.72</v>
      </c>
      <c r="E139">
        <f>C139 * 'Reality Constants'!$B$2</f>
        <v>1.8250182700075527E-24</v>
      </c>
      <c r="F139">
        <f>E139 * ('Reality Constants'!$B$3 * 'Reality Constants'!$B$3)</f>
        <v>1.6402446214585957E-7</v>
      </c>
      <c r="G139">
        <f>F139 / 'Reality Constants'!$B$4</f>
        <v>102376016891.69283</v>
      </c>
      <c r="H139">
        <f>F139 / 'Reality Constants'!$B$5</f>
        <v>4.5562350596072101E-14</v>
      </c>
      <c r="N139">
        <v>34401</v>
      </c>
      <c r="O139" t="s">
        <v>417</v>
      </c>
      <c r="P139">
        <f>N139 / ((1000/C139) * 'Reality Constants'!$B$6)</f>
        <v>6.278392093605115E-21</v>
      </c>
    </row>
    <row r="140" spans="1:16" x14ac:dyDescent="0.3">
      <c r="A140" t="s">
        <v>188</v>
      </c>
      <c r="B140" t="s">
        <v>197</v>
      </c>
      <c r="C140" s="2">
        <v>110.90418200000001</v>
      </c>
      <c r="D140">
        <v>12.8</v>
      </c>
      <c r="E140">
        <f>C140 * 'Reality Constants'!$B$2</f>
        <v>1.8416072711761422E-24</v>
      </c>
      <c r="F140">
        <f>E140 * ('Reality Constants'!$B$3 * 'Reality Constants'!$B$3)</f>
        <v>1.6551540721689367E-7</v>
      </c>
      <c r="G140">
        <f>F140 / 'Reality Constants'!$B$4</f>
        <v>103306591610.73102</v>
      </c>
      <c r="H140">
        <f>F140 / 'Reality Constants'!$B$5</f>
        <v>4.5976502004692683E-14</v>
      </c>
      <c r="N140">
        <v>1.98</v>
      </c>
      <c r="O140" t="s">
        <v>406</v>
      </c>
      <c r="P140">
        <f>N140 / ((1000/C140) * 'Reality Constants'!$B$6)</f>
        <v>3.6464676247093988E-25</v>
      </c>
    </row>
    <row r="141" spans="1:16" x14ac:dyDescent="0.3">
      <c r="A141" t="s">
        <v>188</v>
      </c>
      <c r="B141" t="s">
        <v>198</v>
      </c>
      <c r="C141" s="2">
        <v>111.902761</v>
      </c>
      <c r="D141">
        <v>24.13</v>
      </c>
      <c r="E141">
        <f>C141 * 'Reality Constants'!$B$2</f>
        <v>1.8581890656051729E-24</v>
      </c>
      <c r="F141">
        <f>E141 * ('Reality Constants'!$B$3 * 'Reality Constants'!$B$3)</f>
        <v>1.6700570457847773E-7</v>
      </c>
      <c r="G141">
        <f>F141 / 'Reality Constants'!$B$4</f>
        <v>104236762061.3282</v>
      </c>
      <c r="H141">
        <f>F141 / 'Reality Constants'!$B$5</f>
        <v>4.6390473494021594E-14</v>
      </c>
      <c r="N141">
        <v>1.98</v>
      </c>
      <c r="O141" t="s">
        <v>406</v>
      </c>
      <c r="P141">
        <f>N141 / ((1000/C141) * 'Reality Constants'!$B$6)</f>
        <v>3.6793003450680836E-25</v>
      </c>
    </row>
    <row r="142" spans="1:16" x14ac:dyDescent="0.3">
      <c r="A142" t="s">
        <v>199</v>
      </c>
      <c r="B142" t="s">
        <v>200</v>
      </c>
      <c r="C142" s="2">
        <v>111.904826</v>
      </c>
      <c r="D142">
        <v>0.97</v>
      </c>
      <c r="E142">
        <f>C142 * 'Reality Constants'!$B$2</f>
        <v>1.8582233557369459E-24</v>
      </c>
      <c r="F142">
        <f>E142 * ('Reality Constants'!$B$3 * 'Reality Constants'!$B$3)</f>
        <v>1.6700878642182879E-7</v>
      </c>
      <c r="G142">
        <f>F142 / 'Reality Constants'!$B$4</f>
        <v>104238685596.65237</v>
      </c>
      <c r="H142">
        <f>F142 / 'Reality Constants'!$B$5</f>
        <v>4.6391329561619108E-14</v>
      </c>
      <c r="N142">
        <v>14.77</v>
      </c>
      <c r="O142" t="s">
        <v>420</v>
      </c>
      <c r="P142">
        <f>N142 / ((1000/C142) * 'Reality Constants'!$B$6)</f>
        <v>2.7446600465293917E-24</v>
      </c>
    </row>
    <row r="143" spans="1:16" x14ac:dyDescent="0.3">
      <c r="A143" t="s">
        <v>201</v>
      </c>
      <c r="B143" t="s">
        <v>202</v>
      </c>
      <c r="C143" s="2">
        <v>112.904056</v>
      </c>
      <c r="D143">
        <v>4.3</v>
      </c>
      <c r="E143">
        <f>C143 * 'Reality Constants'!$B$2</f>
        <v>1.8748159602753155E-24</v>
      </c>
      <c r="F143">
        <f>E143 * ('Reality Constants'!$B$3 * 'Reality Constants'!$B$3)</f>
        <v>1.6850005534758796E-7</v>
      </c>
      <c r="G143">
        <f>F143 / 'Reality Constants'!$B$4</f>
        <v>105169462449.91109</v>
      </c>
      <c r="H143">
        <f>F143 / 'Reality Constants'!$B$5</f>
        <v>4.6805570929885545E-14</v>
      </c>
      <c r="N143">
        <v>341.6</v>
      </c>
      <c r="O143" t="s">
        <v>417</v>
      </c>
      <c r="P143">
        <f>N143 / ((1000/C143) * 'Reality Constants'!$B$6)</f>
        <v>6.4045210112255075E-23</v>
      </c>
    </row>
    <row r="144" spans="1:16" x14ac:dyDescent="0.3">
      <c r="A144" t="s">
        <v>188</v>
      </c>
      <c r="B144" t="s">
        <v>203</v>
      </c>
      <c r="C144" s="2">
        <v>112.90440099999999</v>
      </c>
      <c r="D144">
        <v>12.22</v>
      </c>
      <c r="E144">
        <f>C144 * 'Reality Constants'!$B$2</f>
        <v>1.874821689135103E-24</v>
      </c>
      <c r="F144">
        <f>E144 * ('Reality Constants'!$B$3 * 'Reality Constants'!$B$3)</f>
        <v>1.6850057023182819E-7</v>
      </c>
      <c r="G144">
        <f>F144 / 'Reality Constants'!$B$4</f>
        <v>105169783815.37686</v>
      </c>
      <c r="H144">
        <f>F144 / 'Reality Constants'!$B$5</f>
        <v>4.6805713953285607E-14</v>
      </c>
      <c r="N144">
        <v>1.98</v>
      </c>
      <c r="O144" t="s">
        <v>406</v>
      </c>
      <c r="P144">
        <f>N144 / ((1000/C144) * 'Reality Constants'!$B$6)</f>
        <v>3.7122337093988712E-25</v>
      </c>
    </row>
    <row r="145" spans="1:16" x14ac:dyDescent="0.3">
      <c r="A145" t="s">
        <v>199</v>
      </c>
      <c r="B145" t="s">
        <v>204</v>
      </c>
      <c r="C145" s="2">
        <v>113.902784</v>
      </c>
      <c r="D145">
        <v>0.65</v>
      </c>
      <c r="E145">
        <f>C145 * 'Reality Constants'!$B$2</f>
        <v>1.8914002289075587E-24</v>
      </c>
      <c r="F145">
        <f>E145 * ('Reality Constants'!$B$3 * 'Reality Constants'!$B$3)</f>
        <v>1.6999057507946707E-7</v>
      </c>
      <c r="G145">
        <f>F145 / 'Reality Constants'!$B$4</f>
        <v>106099771693.12971</v>
      </c>
      <c r="H145">
        <f>F145 / 'Reality Constants'!$B$5</f>
        <v>4.7219604188740849E-14</v>
      </c>
      <c r="N145">
        <v>14.77</v>
      </c>
      <c r="O145" t="s">
        <v>420</v>
      </c>
      <c r="P145">
        <f>N145 / ((1000/C145) * 'Reality Constants'!$B$6)</f>
        <v>2.7936634335436729E-24</v>
      </c>
    </row>
    <row r="146" spans="1:16" x14ac:dyDescent="0.3">
      <c r="A146" t="s">
        <v>188</v>
      </c>
      <c r="B146" t="s">
        <v>205</v>
      </c>
      <c r="C146" s="2">
        <v>113.903361</v>
      </c>
      <c r="D146">
        <v>28.73</v>
      </c>
      <c r="E146">
        <f>C146 * 'Reality Constants'!$B$2</f>
        <v>1.8914098102179866E-24</v>
      </c>
      <c r="F146">
        <f>E146 * ('Reality Constants'!$B$3 * 'Reality Constants'!$B$3)</f>
        <v>1.6999143620470369E-7</v>
      </c>
      <c r="G146">
        <f>F146 / 'Reality Constants'!$B$4</f>
        <v>106100309165.22758</v>
      </c>
      <c r="H146">
        <f>F146 / 'Reality Constants'!$B$5</f>
        <v>4.7219843390195471E-14</v>
      </c>
      <c r="N146">
        <v>1.98</v>
      </c>
      <c r="O146" t="s">
        <v>406</v>
      </c>
      <c r="P146">
        <f>N146 / ((1000/C146) * 'Reality Constants'!$B$6)</f>
        <v>3.7450789568249753E-25</v>
      </c>
    </row>
    <row r="147" spans="1:16" x14ac:dyDescent="0.3">
      <c r="A147" t="s">
        <v>199</v>
      </c>
      <c r="B147" t="s">
        <v>206</v>
      </c>
      <c r="C147" s="2">
        <v>114.90334799999999</v>
      </c>
      <c r="D147">
        <v>0.36</v>
      </c>
      <c r="E147">
        <f>C147 * 'Reality Constants'!$B$2</f>
        <v>1.9080149850371073E-24</v>
      </c>
      <c r="F147">
        <f>E147 * ('Reality Constants'!$B$3 * 'Reality Constants'!$B$3)</f>
        <v>1.7148383489095519E-7</v>
      </c>
      <c r="G147">
        <f>F147 / 'Reality Constants'!$B$4</f>
        <v>107031791159.52278</v>
      </c>
      <c r="H147">
        <f>F147 / 'Reality Constants'!$B$5</f>
        <v>4.7634398580820884E-14</v>
      </c>
      <c r="N147">
        <v>14.77</v>
      </c>
      <c r="O147" t="s">
        <v>420</v>
      </c>
      <c r="P147">
        <f>N147 / ((1000/C147) * 'Reality Constants'!$B$6)</f>
        <v>2.8182040019262698E-24</v>
      </c>
    </row>
    <row r="148" spans="1:16" x14ac:dyDescent="0.3">
      <c r="A148" t="s">
        <v>201</v>
      </c>
      <c r="B148" t="s">
        <v>207</v>
      </c>
      <c r="C148" s="2">
        <v>114.903875</v>
      </c>
      <c r="D148">
        <v>95.7</v>
      </c>
      <c r="E148">
        <f>C148 * 'Reality Constants'!$B$2</f>
        <v>1.9080237360780008E-24</v>
      </c>
      <c r="F148">
        <f>E148 * ('Reality Constants'!$B$3 * 'Reality Constants'!$B$3)</f>
        <v>1.7148462139528741E-7</v>
      </c>
      <c r="G148">
        <f>F148 / 'Reality Constants'!$B$4</f>
        <v>107032282056.91545</v>
      </c>
      <c r="H148">
        <f>F148 / 'Reality Constants'!$B$5</f>
        <v>4.7634617054246503E-14</v>
      </c>
      <c r="N148">
        <v>341.6</v>
      </c>
      <c r="O148" t="s">
        <v>417</v>
      </c>
      <c r="P148">
        <f>N148 / ((1000/C148) * 'Reality Constants'!$B$6)</f>
        <v>6.5179614247758234E-23</v>
      </c>
    </row>
    <row r="149" spans="1:16" x14ac:dyDescent="0.3">
      <c r="A149" t="s">
        <v>199</v>
      </c>
      <c r="B149" t="s">
        <v>208</v>
      </c>
      <c r="C149" s="2">
        <v>115.90174399999999</v>
      </c>
      <c r="D149">
        <v>14.7</v>
      </c>
      <c r="E149">
        <f>C149 * 'Reality Constants'!$B$2</f>
        <v>1.9245937406796418E-24</v>
      </c>
      <c r="F149">
        <f>E149 * ('Reality Constants'!$B$3 * 'Reality Constants'!$B$3)</f>
        <v>1.729738591400292E-7</v>
      </c>
      <c r="G149">
        <f>F149 / 'Reality Constants'!$B$4</f>
        <v>107961791146.69899</v>
      </c>
      <c r="H149">
        <f>F149 / 'Reality Constants'!$B$5</f>
        <v>4.8048294205563664E-14</v>
      </c>
      <c r="N149">
        <v>14.77</v>
      </c>
      <c r="O149" t="s">
        <v>420</v>
      </c>
      <c r="P149">
        <f>N149 / ((1000/C149) * 'Reality Constants'!$B$6)</f>
        <v>2.8426913963467292E-24</v>
      </c>
    </row>
    <row r="150" spans="1:16" x14ac:dyDescent="0.3">
      <c r="A150" t="s">
        <v>188</v>
      </c>
      <c r="B150" t="s">
        <v>209</v>
      </c>
      <c r="C150" s="2">
        <v>115.904758</v>
      </c>
      <c r="D150">
        <v>7.49</v>
      </c>
      <c r="E150">
        <f>C150 * 'Reality Constants'!$B$2</f>
        <v>1.9246437893271793E-24</v>
      </c>
      <c r="F150">
        <f>E150 * ('Reality Constants'!$B$3 * 'Reality Constants'!$B$3)</f>
        <v>1.7297835728814549E-7</v>
      </c>
      <c r="G150">
        <f>F150 / 'Reality Constants'!$B$4</f>
        <v>107964598669.9276</v>
      </c>
      <c r="H150">
        <f>F150 / 'Reality Constants'!$B$5</f>
        <v>4.8049543691151528E-14</v>
      </c>
      <c r="N150">
        <v>1.98</v>
      </c>
      <c r="O150" t="s">
        <v>406</v>
      </c>
      <c r="P150">
        <f>N150 / ((1000/C150) * 'Reality Constants'!$B$6)</f>
        <v>3.8108837734971768E-25</v>
      </c>
    </row>
    <row r="151" spans="1:16" x14ac:dyDescent="0.3">
      <c r="A151" t="s">
        <v>199</v>
      </c>
      <c r="B151" t="s">
        <v>210</v>
      </c>
      <c r="C151" s="2">
        <v>116.90295399999999</v>
      </c>
      <c r="D151">
        <v>7.7</v>
      </c>
      <c r="E151">
        <f>C151 * 'Reality Constants'!$B$2</f>
        <v>1.9412192238915759E-24</v>
      </c>
      <c r="F151">
        <f>E151 * ('Reality Constants'!$B$3 * 'Reality Constants'!$B$3)</f>
        <v>1.7446808305360197E-7</v>
      </c>
      <c r="G151">
        <f>F151 / 'Reality Constants'!$B$4</f>
        <v>108894412358.28307</v>
      </c>
      <c r="H151">
        <f>F151 / 'Reality Constants'!$B$5</f>
        <v>4.8463356403778326E-14</v>
      </c>
      <c r="N151">
        <v>14.77</v>
      </c>
      <c r="O151" t="s">
        <v>420</v>
      </c>
      <c r="P151">
        <f>N151 / ((1000/C151) * 'Reality Constants'!$B$6)</f>
        <v>2.8672478090003324E-24</v>
      </c>
    </row>
    <row r="152" spans="1:16" x14ac:dyDescent="0.3">
      <c r="A152" t="s">
        <v>199</v>
      </c>
      <c r="B152" t="s">
        <v>211</v>
      </c>
      <c r="C152" s="2">
        <v>117.901607</v>
      </c>
      <c r="D152">
        <v>24.3</v>
      </c>
      <c r="E152">
        <f>C152 * 'Reality Constants'!$B$2</f>
        <v>1.9578022471195175E-24</v>
      </c>
      <c r="F152">
        <f>E152 * ('Reality Constants'!$B$3 * 'Reality Constants'!$B$3)</f>
        <v>1.7595849085412452E-7</v>
      </c>
      <c r="G152">
        <f>F152 / 'Reality Constants'!$B$4</f>
        <v>109824651739.44392</v>
      </c>
      <c r="H152">
        <f>F152 / 'Reality Constants'!$B$5</f>
        <v>4.887735857059014E-14</v>
      </c>
      <c r="N152">
        <v>14.77</v>
      </c>
      <c r="O152" t="s">
        <v>420</v>
      </c>
      <c r="P152">
        <f>N152 / ((1000/C152) * 'Reality Constants'!$B$6)</f>
        <v>2.8917415067917636E-24</v>
      </c>
    </row>
    <row r="153" spans="1:16" x14ac:dyDescent="0.3">
      <c r="A153" t="s">
        <v>199</v>
      </c>
      <c r="B153" t="s">
        <v>212</v>
      </c>
      <c r="C153" s="2">
        <v>118.90331</v>
      </c>
      <c r="D153">
        <v>8.6</v>
      </c>
      <c r="E153">
        <f>C153 * 'Reality Constants'!$B$2</f>
        <v>1.9744359167890613E-24</v>
      </c>
      <c r="F153">
        <f>E153 * ('Reality Constants'!$B$3 * 'Reality Constants'!$B$3)</f>
        <v>1.7745345052981451E-7</v>
      </c>
      <c r="G153">
        <f>F153 / 'Reality Constants'!$B$4</f>
        <v>110757732177.62112</v>
      </c>
      <c r="H153">
        <f>F153 / 'Reality Constants'!$B$5</f>
        <v>4.9292625147170696E-14</v>
      </c>
      <c r="N153">
        <v>14.77</v>
      </c>
      <c r="O153" t="s">
        <v>420</v>
      </c>
      <c r="P153">
        <f>N153 / ((1000/C153) * 'Reality Constants'!$B$6)</f>
        <v>2.916310011125872E-24</v>
      </c>
    </row>
    <row r="154" spans="1:16" x14ac:dyDescent="0.3">
      <c r="A154" t="s">
        <v>199</v>
      </c>
      <c r="B154" t="s">
        <v>213</v>
      </c>
      <c r="C154" s="2">
        <v>119.902199</v>
      </c>
      <c r="D154">
        <v>32.4</v>
      </c>
      <c r="E154">
        <f>C154 * 'Reality Constants'!$B$2</f>
        <v>1.9910228588892055E-24</v>
      </c>
      <c r="F154">
        <f>E154 * ('Reality Constants'!$B$3 * 'Reality Constants'!$B$3)</f>
        <v>1.7894421054100575E-7</v>
      </c>
      <c r="G154">
        <f>F154 / 'Reality Constants'!$B$4</f>
        <v>111688191391.39046</v>
      </c>
      <c r="H154">
        <f>F154 / 'Reality Constants'!$B$5</f>
        <v>4.9706725150279378E-14</v>
      </c>
      <c r="N154">
        <v>14.77</v>
      </c>
      <c r="O154" t="s">
        <v>420</v>
      </c>
      <c r="P154">
        <f>N154 / ((1000/C154) * 'Reality Constants'!$B$6)</f>
        <v>2.9408094972268348E-24</v>
      </c>
    </row>
    <row r="155" spans="1:16" x14ac:dyDescent="0.3">
      <c r="A155" t="s">
        <v>214</v>
      </c>
      <c r="B155" t="s">
        <v>215</v>
      </c>
      <c r="C155" s="2">
        <v>119.904021</v>
      </c>
      <c r="D155">
        <v>9.6000000000000002E-2</v>
      </c>
      <c r="E155">
        <f>C155 * 'Reality Constants'!$B$2</f>
        <v>1.9910531139110412E-24</v>
      </c>
      <c r="F155">
        <f>E155 * ('Reality Constants'!$B$3 * 'Reality Constants'!$B$3)</f>
        <v>1.789469297267615E-7</v>
      </c>
      <c r="G155">
        <f>F155 / 'Reality Constants'!$B$4</f>
        <v>111689888573.64742</v>
      </c>
      <c r="H155">
        <f>F155 / 'Reality Constants'!$B$5</f>
        <v>4.9707480479655971E-14</v>
      </c>
      <c r="N155">
        <v>102.33</v>
      </c>
      <c r="O155" t="s">
        <v>420</v>
      </c>
      <c r="P155">
        <f>N155 / ((1000/C155) * 'Reality Constants'!$B$6)</f>
        <v>2.0374922731534372E-23</v>
      </c>
    </row>
    <row r="156" spans="1:16" x14ac:dyDescent="0.3">
      <c r="A156" t="s">
        <v>216</v>
      </c>
      <c r="B156" t="s">
        <v>217</v>
      </c>
      <c r="C156" s="2">
        <v>120.903824</v>
      </c>
      <c r="D156">
        <v>57.3</v>
      </c>
      <c r="E156">
        <f>C156 * 'Reality Constants'!$B$2</f>
        <v>2.0076552333382755E-24</v>
      </c>
      <c r="F156">
        <f>E156 * ('Reality Constants'!$B$3 * 'Reality Constants'!$B$3)</f>
        <v>1.8043905380808489E-7</v>
      </c>
      <c r="G156">
        <f>F156 / 'Reality Constants'!$B$4</f>
        <v>112621199173.02756</v>
      </c>
      <c r="H156">
        <f>F156 / 'Reality Constants'!$B$5</f>
        <v>5.0121959391134692E-14</v>
      </c>
      <c r="N156">
        <v>12</v>
      </c>
      <c r="O156" t="s">
        <v>421</v>
      </c>
      <c r="P156">
        <f>N156 / ((1000/C156) * 'Reality Constants'!$B$6)</f>
        <v>2.409242590501495E-24</v>
      </c>
    </row>
    <row r="157" spans="1:16" x14ac:dyDescent="0.3">
      <c r="A157" t="s">
        <v>214</v>
      </c>
      <c r="B157" t="s">
        <v>218</v>
      </c>
      <c r="C157" s="2">
        <v>121.90305499999999</v>
      </c>
      <c r="D157">
        <v>2.6</v>
      </c>
      <c r="E157">
        <f>C157 * 'Reality Constants'!$B$2</f>
        <v>2.0242478544820353E-24</v>
      </c>
      <c r="F157">
        <f>E157 * ('Reality Constants'!$B$3 * 'Reality Constants'!$B$3)</f>
        <v>1.8193032422626211E-7</v>
      </c>
      <c r="G157">
        <f>F157 / 'Reality Constants'!$B$4</f>
        <v>113551976957.78036</v>
      </c>
      <c r="H157">
        <f>F157 / 'Reality Constants'!$B$5</f>
        <v>5.0536201173961697E-14</v>
      </c>
      <c r="N157">
        <v>102.33</v>
      </c>
      <c r="O157" t="s">
        <v>420</v>
      </c>
      <c r="P157">
        <f>N157 / ((1000/C157) * 'Reality Constants'!$B$6)</f>
        <v>2.0714612451262037E-23</v>
      </c>
    </row>
    <row r="158" spans="1:16" x14ac:dyDescent="0.3">
      <c r="A158" t="s">
        <v>199</v>
      </c>
      <c r="B158" t="s">
        <v>219</v>
      </c>
      <c r="C158" s="2">
        <v>121.90344</v>
      </c>
      <c r="D158">
        <v>4.5999999999999996</v>
      </c>
      <c r="E158">
        <f>C158 * 'Reality Constants'!$B$2</f>
        <v>2.024254247557451E-24</v>
      </c>
      <c r="F158">
        <f>E158 * ('Reality Constants'!$B$3 * 'Reality Constants'!$B$3)</f>
        <v>1.8193089880722591E-7</v>
      </c>
      <c r="G158">
        <f>F158 / 'Reality Constants'!$B$4</f>
        <v>113552335583.01031</v>
      </c>
      <c r="H158">
        <f>F158 / 'Reality Constants'!$B$5</f>
        <v>5.0536360779784976E-14</v>
      </c>
      <c r="N158">
        <v>14.77</v>
      </c>
      <c r="O158" t="s">
        <v>420</v>
      </c>
      <c r="P158">
        <f>N158 / ((1000/C158) * 'Reality Constants'!$B$6)</f>
        <v>2.9898934055131185E-24</v>
      </c>
    </row>
    <row r="159" spans="1:16" x14ac:dyDescent="0.3">
      <c r="A159" t="s">
        <v>216</v>
      </c>
      <c r="B159" t="s">
        <v>220</v>
      </c>
      <c r="C159" s="2">
        <v>122.904222</v>
      </c>
      <c r="D159">
        <v>42.7</v>
      </c>
      <c r="E159">
        <f>C159 * 'Reality Constants'!$B$2</f>
        <v>2.04087262366217E-24</v>
      </c>
      <c r="F159">
        <f>E159 * ('Reality Constants'!$B$3 * 'Reality Constants'!$B$3)</f>
        <v>1.8342448396585713E-7</v>
      </c>
      <c r="G159">
        <f>F159 / 'Reality Constants'!$B$4</f>
        <v>114484558115.11798</v>
      </c>
      <c r="H159">
        <f>F159 / 'Reality Constants'!$B$5</f>
        <v>5.0951245546071427E-14</v>
      </c>
      <c r="N159">
        <v>12</v>
      </c>
      <c r="O159" t="s">
        <v>421</v>
      </c>
      <c r="P159">
        <f>N159 / ((1000/C159) * 'Reality Constants'!$B$6)</f>
        <v>2.4491043905679175E-24</v>
      </c>
    </row>
    <row r="160" spans="1:16" x14ac:dyDescent="0.3">
      <c r="A160" t="s">
        <v>214</v>
      </c>
      <c r="B160" t="s">
        <v>221</v>
      </c>
      <c r="C160" s="2">
        <v>122.90427800000001</v>
      </c>
      <c r="D160">
        <v>0.91</v>
      </c>
      <c r="E160">
        <f>C160 * 'Reality Constants'!$B$2</f>
        <v>2.0408735535640485E-24</v>
      </c>
      <c r="F160">
        <f>E160 * ('Reality Constants'!$B$3 * 'Reality Constants'!$B$3)</f>
        <v>1.8342456754127005E-7</v>
      </c>
      <c r="G160">
        <f>F160 / 'Reality Constants'!$B$4</f>
        <v>114484610278.7878</v>
      </c>
      <c r="H160">
        <f>F160 / 'Reality Constants'!$B$5</f>
        <v>5.0951268761463904E-14</v>
      </c>
      <c r="N160">
        <v>102.33</v>
      </c>
      <c r="O160" t="s">
        <v>420</v>
      </c>
      <c r="P160">
        <f>N160 / ((1000/C160) * 'Reality Constants'!$B$6)</f>
        <v>2.0884747206476253E-23</v>
      </c>
    </row>
    <row r="161" spans="1:16" x14ac:dyDescent="0.3">
      <c r="A161" t="s">
        <v>214</v>
      </c>
      <c r="B161" t="s">
        <v>222</v>
      </c>
      <c r="C161" s="2">
        <v>123.90282500000001</v>
      </c>
      <c r="D161">
        <v>4.82</v>
      </c>
      <c r="E161">
        <f>C161 * 'Reality Constants'!$B$2</f>
        <v>2.0574548166205771E-24</v>
      </c>
      <c r="F161">
        <f>E161 * ('Reality Constants'!$B$3 * 'Reality Constants'!$B$3)</f>
        <v>1.849148171454753E-7</v>
      </c>
      <c r="G161">
        <f>F161 / 'Reality Constants'!$B$4</f>
        <v>115414750921.57365</v>
      </c>
      <c r="H161">
        <f>F161 / 'Reality Constants'!$B$5</f>
        <v>5.136522698485425E-14</v>
      </c>
      <c r="N161">
        <v>102.33</v>
      </c>
      <c r="O161" t="s">
        <v>420</v>
      </c>
      <c r="P161">
        <f>N161 / ((1000/C161) * 'Reality Constants'!$B$6)</f>
        <v>2.1054427237213547E-23</v>
      </c>
    </row>
    <row r="162" spans="1:16" x14ac:dyDescent="0.3">
      <c r="A162" t="s">
        <v>199</v>
      </c>
      <c r="B162" t="s">
        <v>223</v>
      </c>
      <c r="C162" s="2">
        <v>123.905271</v>
      </c>
      <c r="D162">
        <v>5.6</v>
      </c>
      <c r="E162">
        <f>C162 * 'Reality Constants'!$B$2</f>
        <v>2.0574954334062026E-24</v>
      </c>
      <c r="F162">
        <f>E162 * ('Reality Constants'!$B$3 * 'Reality Constants'!$B$3)</f>
        <v>1.8491846760011778E-7</v>
      </c>
      <c r="G162">
        <f>F162 / 'Reality Constants'!$B$4</f>
        <v>115417029356.15135</v>
      </c>
      <c r="H162">
        <f>F162 / 'Reality Constants'!$B$5</f>
        <v>5.1366241000032717E-14</v>
      </c>
      <c r="N162">
        <v>14.77</v>
      </c>
      <c r="O162" t="s">
        <v>420</v>
      </c>
      <c r="P162">
        <f>N162 / ((1000/C162) * 'Reality Constants'!$B$6)</f>
        <v>3.0389917845732313E-24</v>
      </c>
    </row>
    <row r="163" spans="1:16" x14ac:dyDescent="0.3">
      <c r="A163" t="s">
        <v>224</v>
      </c>
      <c r="B163" t="s">
        <v>225</v>
      </c>
      <c r="C163" s="2">
        <v>123.905894</v>
      </c>
      <c r="D163">
        <v>0.1</v>
      </c>
      <c r="E163">
        <f>C163 * 'Reality Constants'!$B$2</f>
        <v>2.0575057785646022E-24</v>
      </c>
      <c r="F163">
        <f>E163 * ('Reality Constants'!$B$3 * 'Reality Constants'!$B$3)</f>
        <v>1.849193973765864E-7</v>
      </c>
      <c r="G163">
        <f>F163 / 'Reality Constants'!$B$4</f>
        <v>115417609676.97797</v>
      </c>
      <c r="H163">
        <f>F163 / 'Reality Constants'!$B$5</f>
        <v>5.1366499271273998E-14</v>
      </c>
      <c r="N163">
        <v>3000</v>
      </c>
      <c r="O163" t="s">
        <v>422</v>
      </c>
      <c r="P163">
        <f>N163 / ((1000/C163) * 'Reality Constants'!$B$6)</f>
        <v>6.172661607439389E-22</v>
      </c>
    </row>
    <row r="164" spans="1:16" x14ac:dyDescent="0.3">
      <c r="A164" t="s">
        <v>214</v>
      </c>
      <c r="B164" t="s">
        <v>226</v>
      </c>
      <c r="C164" s="2">
        <v>124.90443500000001</v>
      </c>
      <c r="D164">
        <v>7.14</v>
      </c>
      <c r="E164">
        <f>C164 * 'Reality Constants'!$B$2</f>
        <v>2.0740869419887866E-24</v>
      </c>
      <c r="F164">
        <f>E164 * ('Reality Constants'!$B$3 * 'Reality Constants'!$B$3)</f>
        <v>1.8640963802628314E-7</v>
      </c>
      <c r="G164">
        <f>F164 / 'Reality Constants'!$B$4</f>
        <v>116347744730.79921</v>
      </c>
      <c r="H164">
        <f>F164 / 'Reality Constants'!$B$5</f>
        <v>5.1780455007300871E-14</v>
      </c>
      <c r="N164">
        <v>102.33</v>
      </c>
      <c r="O164" t="s">
        <v>420</v>
      </c>
      <c r="P164">
        <f>N164 / ((1000/C164) * 'Reality Constants'!$B$6)</f>
        <v>2.1224627754151448E-23</v>
      </c>
    </row>
    <row r="165" spans="1:16" x14ac:dyDescent="0.3">
      <c r="A165" t="s">
        <v>214</v>
      </c>
      <c r="B165" t="s">
        <v>227</v>
      </c>
      <c r="C165" s="2">
        <v>125.90331</v>
      </c>
      <c r="D165">
        <v>18.95</v>
      </c>
      <c r="E165">
        <f>C165 * 'Reality Constants'!$B$2</f>
        <v>2.0906736516134613E-24</v>
      </c>
      <c r="F165">
        <f>E165 * ('Reality Constants'!$B$3 * 'Reality Constants'!$B$3)</f>
        <v>1.8790037714362116E-7</v>
      </c>
      <c r="G165">
        <f>F165 / 'Reality Constants'!$B$4</f>
        <v>117278190903.65111</v>
      </c>
      <c r="H165">
        <f>F165 / 'Reality Constants'!$B$5</f>
        <v>5.2194549206561434E-14</v>
      </c>
      <c r="N165">
        <v>102.33</v>
      </c>
      <c r="O165" t="s">
        <v>420</v>
      </c>
      <c r="P165">
        <f>N165 / ((1000/C165) * 'Reality Constants'!$B$6)</f>
        <v>2.1394363520923281E-23</v>
      </c>
    </row>
    <row r="166" spans="1:16" x14ac:dyDescent="0.3">
      <c r="A166" t="s">
        <v>224</v>
      </c>
      <c r="B166" t="s">
        <v>228</v>
      </c>
      <c r="C166" s="2">
        <v>125.904281</v>
      </c>
      <c r="D166">
        <v>0.09</v>
      </c>
      <c r="E166">
        <f>C166 * 'Reality Constants'!$B$2</f>
        <v>2.0906897754478203E-24</v>
      </c>
      <c r="F166">
        <f>E166 * ('Reality Constants'!$B$3 * 'Reality Constants'!$B$3)</f>
        <v>1.8790182628158429E-7</v>
      </c>
      <c r="G166">
        <f>F166 / 'Reality Constants'!$B$4</f>
        <v>117279095384.4258</v>
      </c>
      <c r="H166">
        <f>F166 / 'Reality Constants'!$B$5</f>
        <v>5.2194951744884524E-14</v>
      </c>
      <c r="N166">
        <v>3000</v>
      </c>
      <c r="O166" t="s">
        <v>422</v>
      </c>
      <c r="P166">
        <f>N166 / ((1000/C166) * 'Reality Constants'!$B$6)</f>
        <v>6.27221592494188E-22</v>
      </c>
    </row>
    <row r="167" spans="1:16" x14ac:dyDescent="0.3">
      <c r="A167" t="s">
        <v>229</v>
      </c>
      <c r="B167" t="s">
        <v>230</v>
      </c>
      <c r="C167" s="2">
        <v>126.904477</v>
      </c>
      <c r="D167">
        <v>100</v>
      </c>
      <c r="E167">
        <f>C167 * 'Reality Constants'!$B$2</f>
        <v>2.1072984207935957E-24</v>
      </c>
      <c r="F167">
        <f>E167 * ('Reality Constants'!$B$3 * 'Reality Constants'!$B$3)</f>
        <v>1.8939453688321615E-7</v>
      </c>
      <c r="G167">
        <f>F167 / 'Reality Constants'!$B$4</f>
        <v>118210772060.98871</v>
      </c>
      <c r="H167">
        <f>F167 / 'Reality Constants'!$B$5</f>
        <v>5.2609593578671151E-14</v>
      </c>
      <c r="N167">
        <v>50</v>
      </c>
      <c r="O167" t="s">
        <v>423</v>
      </c>
      <c r="P167">
        <f>N167 / ((1000/C167) * 'Reality Constants'!$B$6)</f>
        <v>1.0536738375954832E-23</v>
      </c>
    </row>
    <row r="168" spans="1:16" x14ac:dyDescent="0.3">
      <c r="A168" t="s">
        <v>224</v>
      </c>
      <c r="B168" t="s">
        <v>231</v>
      </c>
      <c r="C168" s="2">
        <v>127.903531</v>
      </c>
      <c r="D168">
        <v>1.91</v>
      </c>
      <c r="E168">
        <f>C168 * 'Reality Constants'!$B$2</f>
        <v>2.1238881027832037E-24</v>
      </c>
      <c r="F168">
        <f>E168 * ('Reality Constants'!$B$3 * 'Reality Constants'!$B$3)</f>
        <v>1.9088554314339187E-7</v>
      </c>
      <c r="G168">
        <f>F168 / 'Reality Constants'!$B$4</f>
        <v>119141384971.28517</v>
      </c>
      <c r="H168">
        <f>F168 / 'Reality Constants'!$B$5</f>
        <v>5.3023761984275518E-14</v>
      </c>
      <c r="N168">
        <v>3000</v>
      </c>
      <c r="O168" t="s">
        <v>422</v>
      </c>
      <c r="P168">
        <f>N168 / ((1000/C168) * 'Reality Constants'!$B$6)</f>
        <v>6.3718132348057125E-22</v>
      </c>
    </row>
    <row r="169" spans="1:16" x14ac:dyDescent="0.3">
      <c r="A169" t="s">
        <v>214</v>
      </c>
      <c r="B169" t="s">
        <v>232</v>
      </c>
      <c r="C169" s="2">
        <v>127.904464</v>
      </c>
      <c r="D169">
        <v>31.69</v>
      </c>
      <c r="E169">
        <f>C169 * 'Reality Constants'!$B$2</f>
        <v>2.1239035956127168E-24</v>
      </c>
      <c r="F169">
        <f>E169 * ('Reality Constants'!$B$3 * 'Reality Constants'!$B$3)</f>
        <v>1.9088693556946767E-7</v>
      </c>
      <c r="G169">
        <f>F169 / 'Reality Constants'!$B$4</f>
        <v>119142254055.28394</v>
      </c>
      <c r="H169">
        <f>F169 / 'Reality Constants'!$B$5</f>
        <v>5.3024148769296576E-14</v>
      </c>
      <c r="N169">
        <v>102.33</v>
      </c>
      <c r="O169" t="s">
        <v>420</v>
      </c>
      <c r="P169">
        <f>N169 / ((1000/C169) * 'Reality Constants'!$B$6)</f>
        <v>2.1734413485752246E-23</v>
      </c>
    </row>
    <row r="170" spans="1:16" x14ac:dyDescent="0.3">
      <c r="A170" t="s">
        <v>224</v>
      </c>
      <c r="B170" t="s">
        <v>233</v>
      </c>
      <c r="C170" s="2">
        <v>128.90477999999999</v>
      </c>
      <c r="D170">
        <v>26.4</v>
      </c>
      <c r="E170">
        <f>C170 * 'Reality Constants'!$B$2</f>
        <v>2.1405142336053743E-24</v>
      </c>
      <c r="F170">
        <f>E170 * ('Reality Constants'!$B$3 * 'Reality Constants'!$B$3)</f>
        <v>1.9237982526127005E-7</v>
      </c>
      <c r="G170">
        <f>F170 / 'Reality Constants'!$B$4</f>
        <v>120074042511.13927</v>
      </c>
      <c r="H170">
        <f>F170 / 'Reality Constants'!$B$5</f>
        <v>5.3438840350352791E-14</v>
      </c>
      <c r="N170">
        <v>3000</v>
      </c>
      <c r="O170" t="s">
        <v>422</v>
      </c>
      <c r="P170">
        <f>N170 / ((1000/C170) * 'Reality Constants'!$B$6)</f>
        <v>6.4216927930919952E-22</v>
      </c>
    </row>
    <row r="171" spans="1:16" x14ac:dyDescent="0.3">
      <c r="A171" t="s">
        <v>224</v>
      </c>
      <c r="B171" t="s">
        <v>234</v>
      </c>
      <c r="C171" s="2">
        <v>129.90351000000001</v>
      </c>
      <c r="D171">
        <v>4.0999999999999996</v>
      </c>
      <c r="E171">
        <f>C171 * 'Reality Constants'!$B$2</f>
        <v>2.1570985354483995E-24</v>
      </c>
      <c r="F171">
        <f>E171 * ('Reality Constants'!$B$3 * 'Reality Constants'!$B$3)</f>
        <v>1.9387034797798537E-7</v>
      </c>
      <c r="G171">
        <f>F171 / 'Reality Constants'!$B$4</f>
        <v>121004353617.34613</v>
      </c>
      <c r="H171">
        <f>F171 / 'Reality Constants'!$B$5</f>
        <v>5.3852874438329267E-14</v>
      </c>
      <c r="N171">
        <v>3000</v>
      </c>
      <c r="O171" t="s">
        <v>422</v>
      </c>
      <c r="P171">
        <f>N171 / ((1000/C171) * 'Reality Constants'!$B$6)</f>
        <v>6.471446861507806E-22</v>
      </c>
    </row>
    <row r="172" spans="1:16" x14ac:dyDescent="0.3">
      <c r="A172" t="s">
        <v>214</v>
      </c>
      <c r="B172" t="s">
        <v>235</v>
      </c>
      <c r="C172" s="2">
        <v>129.906229</v>
      </c>
      <c r="D172">
        <v>33.799999999999997</v>
      </c>
      <c r="E172">
        <f>C172 * 'Reality Constants'!$B$2</f>
        <v>2.1571436855056828E-24</v>
      </c>
      <c r="F172">
        <f>E172 * ('Reality Constants'!$B$3 * 'Reality Constants'!$B$3)</f>
        <v>1.9387440586276573E-7</v>
      </c>
      <c r="G172">
        <f>F172 / 'Reality Constants'!$B$4</f>
        <v>121006886349.8141</v>
      </c>
      <c r="H172">
        <f>F172 / 'Reality Constants'!$B$5</f>
        <v>5.3854001628546034E-14</v>
      </c>
      <c r="N172">
        <v>102.33</v>
      </c>
      <c r="O172" t="s">
        <v>420</v>
      </c>
      <c r="P172">
        <f>N172 / ((1000/C172) * 'Reality Constants'!$B$6)</f>
        <v>2.2074567275938225E-23</v>
      </c>
    </row>
    <row r="173" spans="1:16" x14ac:dyDescent="0.3">
      <c r="A173" t="s">
        <v>236</v>
      </c>
      <c r="B173" t="s">
        <v>237</v>
      </c>
      <c r="C173" s="2">
        <v>129.90627699999999</v>
      </c>
      <c r="D173">
        <v>0.11</v>
      </c>
      <c r="E173">
        <f>C173 * 'Reality Constants'!$B$2</f>
        <v>2.1571444825644361E-24</v>
      </c>
      <c r="F173">
        <f>E173 * ('Reality Constants'!$B$3 * 'Reality Constants'!$B$3)</f>
        <v>1.9387447749883397E-7</v>
      </c>
      <c r="G173">
        <f>F173 / 'Reality Constants'!$B$4</f>
        <v>121006931061.53111</v>
      </c>
      <c r="H173">
        <f>F173 / 'Reality Constants'!$B$5</f>
        <v>5.3854021527453878E-14</v>
      </c>
      <c r="N173">
        <v>50</v>
      </c>
      <c r="O173" t="s">
        <v>424</v>
      </c>
      <c r="P173">
        <f>N173 / ((1000/C173) * 'Reality Constants'!$B$6)</f>
        <v>1.0785974510129525E-23</v>
      </c>
    </row>
    <row r="174" spans="1:16" x14ac:dyDescent="0.3">
      <c r="A174" t="s">
        <v>224</v>
      </c>
      <c r="B174" t="s">
        <v>238</v>
      </c>
      <c r="C174" s="2">
        <v>130.90507600000001</v>
      </c>
      <c r="D174">
        <v>21.2</v>
      </c>
      <c r="E174">
        <f>C174 * 'Reality Constants'!$B$2</f>
        <v>2.1737299301794186E-24</v>
      </c>
      <c r="F174">
        <f>E174 * ('Reality Constants'!$B$3 * 'Reality Constants'!$B$3)</f>
        <v>1.9536510319239735E-7</v>
      </c>
      <c r="G174">
        <f>F174 / 'Reality Constants'!$B$4</f>
        <v>121937306440.83113</v>
      </c>
      <c r="H174">
        <f>F174 / 'Reality Constants'!$B$5</f>
        <v>5.4268084220110371E-14</v>
      </c>
      <c r="N174">
        <v>3000</v>
      </c>
      <c r="O174" t="s">
        <v>422</v>
      </c>
      <c r="P174">
        <f>N174 / ((1000/C174) * 'Reality Constants'!$B$6)</f>
        <v>6.5213422118897387E-22</v>
      </c>
    </row>
    <row r="175" spans="1:16" x14ac:dyDescent="0.3">
      <c r="A175" t="s">
        <v>224</v>
      </c>
      <c r="B175" t="s">
        <v>239</v>
      </c>
      <c r="C175" s="2">
        <v>131.90414799999999</v>
      </c>
      <c r="D175">
        <v>26.9</v>
      </c>
      <c r="E175">
        <f>C175 * 'Reality Constants'!$B$2</f>
        <v>2.1903199110660587E-24</v>
      </c>
      <c r="F175">
        <f>E175 * ('Reality Constants'!$B$3 * 'Reality Constants'!$B$3)</f>
        <v>1.968561363160986E-7</v>
      </c>
      <c r="G175">
        <f>F175 / 'Reality Constants'!$B$4</f>
        <v>122867936118.02142</v>
      </c>
      <c r="H175">
        <f>F175 / 'Reality Constants'!$B$5</f>
        <v>5.468226008780517E-14</v>
      </c>
      <c r="N175">
        <v>3000</v>
      </c>
      <c r="O175" t="s">
        <v>422</v>
      </c>
      <c r="P175">
        <f>N175 / ((1000/C175) * 'Reality Constants'!$B$6)</f>
        <v>6.5711133178346062E-22</v>
      </c>
    </row>
    <row r="176" spans="1:16" x14ac:dyDescent="0.3">
      <c r="A176" t="s">
        <v>236</v>
      </c>
      <c r="B176" t="s">
        <v>240</v>
      </c>
      <c r="C176" s="2">
        <v>131.90504200000001</v>
      </c>
      <c r="D176">
        <v>0.1</v>
      </c>
      <c r="E176">
        <f>C176 * 'Reality Constants'!$B$2</f>
        <v>2.1903347562853352E-24</v>
      </c>
      <c r="F176">
        <f>E176 * ('Reality Constants'!$B$3 * 'Reality Constants'!$B$3)</f>
        <v>1.9685747053786903E-7</v>
      </c>
      <c r="G176">
        <f>F176 / 'Reality Constants'!$B$4</f>
        <v>122868768873.75017</v>
      </c>
      <c r="H176">
        <f>F176 / 'Reality Constants'!$B$5</f>
        <v>5.4682630704963617E-14</v>
      </c>
      <c r="N176">
        <v>50</v>
      </c>
      <c r="O176" t="s">
        <v>424</v>
      </c>
      <c r="P176">
        <f>N176 / ((1000/C176) * 'Reality Constants'!$B$6)</f>
        <v>1.0951929757555631E-23</v>
      </c>
    </row>
    <row r="177" spans="1:16" x14ac:dyDescent="0.3">
      <c r="A177" t="s">
        <v>241</v>
      </c>
      <c r="B177" t="s">
        <v>242</v>
      </c>
      <c r="C177" s="2">
        <v>132.90543299999999</v>
      </c>
      <c r="D177">
        <v>100</v>
      </c>
      <c r="E177">
        <f>C177 * 'Reality Constants'!$B$2</f>
        <v>2.2069466396822943E-24</v>
      </c>
      <c r="F177">
        <f>E177 * ('Reality Constants'!$B$3 * 'Reality Constants'!$B$3)</f>
        <v>1.9835047216102794E-7</v>
      </c>
      <c r="G177">
        <f>F177 / 'Reality Constants'!$B$4</f>
        <v>123800627191.66327</v>
      </c>
      <c r="H177">
        <f>F177 / 'Reality Constants'!$B$5</f>
        <v>5.5097353378063315E-14</v>
      </c>
      <c r="N177">
        <v>69900</v>
      </c>
      <c r="O177" t="s">
        <v>425</v>
      </c>
      <c r="P177">
        <f>N177 / ((1000/C177) * 'Reality Constants'!$B$6)</f>
        <v>1.5426917580039854E-20</v>
      </c>
    </row>
    <row r="178" spans="1:16" x14ac:dyDescent="0.3">
      <c r="A178" t="s">
        <v>236</v>
      </c>
      <c r="B178" t="s">
        <v>243</v>
      </c>
      <c r="C178" s="2">
        <v>133.90449000000001</v>
      </c>
      <c r="D178">
        <v>2.42</v>
      </c>
      <c r="E178">
        <f>C178 * 'Reality Constants'!$B$2</f>
        <v>2.2235363714880746E-24</v>
      </c>
      <c r="F178">
        <f>E178 * ('Reality Constants'!$B$3 * 'Reality Constants'!$B$3)</f>
        <v>1.9984148289845793E-7</v>
      </c>
      <c r="G178">
        <f>F178 / 'Reality Constants'!$B$4</f>
        <v>124731242896.44203</v>
      </c>
      <c r="H178">
        <f>F178 / 'Reality Constants'!$B$5</f>
        <v>5.5511523027349428E-14</v>
      </c>
      <c r="N178">
        <v>50</v>
      </c>
      <c r="O178" t="s">
        <v>424</v>
      </c>
      <c r="P178">
        <f>N178 / ((1000/C178) * 'Reality Constants'!$B$6)</f>
        <v>1.1117941713716375E-23</v>
      </c>
    </row>
    <row r="179" spans="1:16" x14ac:dyDescent="0.3">
      <c r="A179" t="s">
        <v>224</v>
      </c>
      <c r="B179" t="s">
        <v>244</v>
      </c>
      <c r="C179" s="2">
        <v>133.905395</v>
      </c>
      <c r="D179">
        <v>10.4</v>
      </c>
      <c r="E179">
        <f>C179 * 'Reality Constants'!$B$2</f>
        <v>2.2235513993666483E-24</v>
      </c>
      <c r="F179">
        <f>E179 * ('Reality Constants'!$B$3 * 'Reality Constants'!$B$3)</f>
        <v>1.998428335368273E-7</v>
      </c>
      <c r="G179">
        <f>F179 / 'Reality Constants'!$B$4</f>
        <v>124732085898.60591</v>
      </c>
      <c r="H179">
        <f>F179 / 'Reality Constants'!$B$5</f>
        <v>5.5511898204674248E-14</v>
      </c>
      <c r="N179">
        <v>3000</v>
      </c>
      <c r="O179" t="s">
        <v>422</v>
      </c>
      <c r="P179">
        <f>N179 / ((1000/C179) * 'Reality Constants'!$B$6)</f>
        <v>6.6708101129192957E-22</v>
      </c>
    </row>
    <row r="180" spans="1:16" x14ac:dyDescent="0.3">
      <c r="A180" t="s">
        <v>236</v>
      </c>
      <c r="B180" t="s">
        <v>245</v>
      </c>
      <c r="C180" s="2">
        <v>134.90566799999999</v>
      </c>
      <c r="D180">
        <v>6.59</v>
      </c>
      <c r="E180">
        <f>C180 * 'Reality Constants'!$B$2</f>
        <v>2.2401613233275061E-24</v>
      </c>
      <c r="F180">
        <f>E180 * ('Reality Constants'!$B$3 * 'Reality Constants'!$B$3)</f>
        <v>2.0133565905465187E-7</v>
      </c>
      <c r="G180">
        <f>F180 / 'Reality Constants'!$B$4</f>
        <v>125663834300.21477</v>
      </c>
      <c r="H180">
        <f>F180 / 'Reality Constants'!$B$5</f>
        <v>5.5926571959625518E-14</v>
      </c>
      <c r="N180">
        <v>50</v>
      </c>
      <c r="O180" t="s">
        <v>424</v>
      </c>
      <c r="P180">
        <f>N180 / ((1000/C180) * 'Reality Constants'!$B$6)</f>
        <v>1.12010684158087E-23</v>
      </c>
    </row>
    <row r="181" spans="1:16" x14ac:dyDescent="0.3">
      <c r="A181" t="s">
        <v>236</v>
      </c>
      <c r="B181" t="s">
        <v>246</v>
      </c>
      <c r="C181" s="2">
        <v>135.90455600000001</v>
      </c>
      <c r="D181">
        <v>7.85</v>
      </c>
      <c r="E181">
        <f>C181 * 'Reality Constants'!$B$2</f>
        <v>2.2567482488222604E-24</v>
      </c>
      <c r="F181">
        <f>E181 * ('Reality Constants'!$B$3 * 'Reality Constants'!$B$3)</f>
        <v>2.0282641757342508E-7</v>
      </c>
      <c r="G181">
        <f>F181 / 'Reality Constants'!$B$4</f>
        <v>126594292582.49004</v>
      </c>
      <c r="H181">
        <f>F181 / 'Reality Constants'!$B$5</f>
        <v>5.6340671548173633E-14</v>
      </c>
      <c r="N181">
        <v>50</v>
      </c>
      <c r="O181" t="s">
        <v>424</v>
      </c>
      <c r="P181">
        <f>N181 / ((1000/C181) * 'Reality Constants'!$B$6)</f>
        <v>1.1284004981733644E-23</v>
      </c>
    </row>
    <row r="182" spans="1:16" x14ac:dyDescent="0.3">
      <c r="A182" t="s">
        <v>247</v>
      </c>
      <c r="B182" t="s">
        <v>248</v>
      </c>
      <c r="C182" s="2">
        <v>135.90714</v>
      </c>
      <c r="D182">
        <v>0.19</v>
      </c>
      <c r="E182">
        <f>C182 * 'Reality Constants'!$B$2</f>
        <v>2.2567911571518008E-24</v>
      </c>
      <c r="F182">
        <f>E182 * ('Reality Constants'!$B$3 * 'Reality Constants'!$B$3)</f>
        <v>2.028302739817636E-7</v>
      </c>
      <c r="G182">
        <f>F182 / 'Reality Constants'!$B$4</f>
        <v>126596699563.25401</v>
      </c>
      <c r="H182">
        <f>F182 / 'Reality Constants'!$B$5</f>
        <v>5.6341742772712113E-14</v>
      </c>
      <c r="N182">
        <v>1500</v>
      </c>
      <c r="O182" t="s">
        <v>426</v>
      </c>
      <c r="P182">
        <f>N182 / ((1000/C182) * 'Reality Constants'!$B$6)</f>
        <v>3.3852658585187646E-22</v>
      </c>
    </row>
    <row r="183" spans="1:16" x14ac:dyDescent="0.3">
      <c r="A183" t="s">
        <v>224</v>
      </c>
      <c r="B183" t="s">
        <v>249</v>
      </c>
      <c r="C183" s="2">
        <v>135.907219</v>
      </c>
      <c r="D183">
        <v>8.9</v>
      </c>
      <c r="E183">
        <f>C183 * 'Reality Constants'!$B$2</f>
        <v>2.2567924689776652E-24</v>
      </c>
      <c r="F183">
        <f>E183 * ('Reality Constants'!$B$3 * 'Reality Constants'!$B$3)</f>
        <v>2.0283039188279255E-7</v>
      </c>
      <c r="G183">
        <f>F183 / 'Reality Constants'!$B$4</f>
        <v>126596773151.28822</v>
      </c>
      <c r="H183">
        <f>F183 / 'Reality Constants'!$B$5</f>
        <v>5.6341775522997929E-14</v>
      </c>
      <c r="N183">
        <v>3000</v>
      </c>
      <c r="O183" t="s">
        <v>422</v>
      </c>
      <c r="P183">
        <f>N183 / ((1000/C183) * 'Reality Constants'!$B$6)</f>
        <v>6.7705356526071072E-22</v>
      </c>
    </row>
    <row r="184" spans="1:16" x14ac:dyDescent="0.3">
      <c r="A184" t="s">
        <v>236</v>
      </c>
      <c r="B184" t="s">
        <v>250</v>
      </c>
      <c r="C184" s="2">
        <v>136.90581599999999</v>
      </c>
      <c r="D184">
        <v>11.23</v>
      </c>
      <c r="E184">
        <f>C184 * 'Reality Constants'!$B$2</f>
        <v>2.2733745623037282E-24</v>
      </c>
      <c r="F184">
        <f>E184 * ('Reality Constants'!$B$3 * 'Reality Constants'!$B$3)</f>
        <v>2.0432071610790217E-7</v>
      </c>
      <c r="G184">
        <f>F184 / 'Reality Constants'!$B$4</f>
        <v>127526960368.77927</v>
      </c>
      <c r="H184">
        <f>F184 / 'Reality Constants'!$B$5</f>
        <v>5.6755754474417272E-14</v>
      </c>
      <c r="N184">
        <v>50</v>
      </c>
      <c r="O184" t="s">
        <v>424</v>
      </c>
      <c r="P184">
        <f>N184 / ((1000/C184) * 'Reality Constants'!$B$6)</f>
        <v>1.1367138492195284E-23</v>
      </c>
    </row>
    <row r="185" spans="1:16" x14ac:dyDescent="0.3">
      <c r="A185" t="s">
        <v>236</v>
      </c>
      <c r="B185" t="s">
        <v>251</v>
      </c>
      <c r="C185" s="2">
        <v>137.905236</v>
      </c>
      <c r="D185">
        <v>71.7</v>
      </c>
      <c r="E185">
        <f>C185 * 'Reality Constants'!$B$2</f>
        <v>2.2899703218663287E-24</v>
      </c>
      <c r="F185">
        <f>E185 * ('Reality Constants'!$B$3 * 'Reality Constants'!$B$3)</f>
        <v>2.0581226859309801E-7</v>
      </c>
      <c r="G185">
        <f>F185 / 'Reality Constants'!$B$4</f>
        <v>128457914205.91769</v>
      </c>
      <c r="H185">
        <f>F185 / 'Reality Constants'!$B$5</f>
        <v>5.7170074609193893E-14</v>
      </c>
      <c r="N185">
        <v>50</v>
      </c>
      <c r="O185" t="s">
        <v>424</v>
      </c>
      <c r="P185">
        <f>N185 / ((1000/C185) * 'Reality Constants'!$B$6)</f>
        <v>1.1450119229491864E-23</v>
      </c>
    </row>
    <row r="186" spans="1:16" x14ac:dyDescent="0.3">
      <c r="A186" t="s">
        <v>247</v>
      </c>
      <c r="B186" t="s">
        <v>252</v>
      </c>
      <c r="C186" s="2">
        <v>137.90599599999999</v>
      </c>
      <c r="D186">
        <v>0.25</v>
      </c>
      <c r="E186">
        <f>C186 * 'Reality Constants'!$B$2</f>
        <v>2.2899829419632522E-24</v>
      </c>
      <c r="F186">
        <f>E186 * ('Reality Constants'!$B$3 * 'Reality Constants'!$B$3)</f>
        <v>2.0581340283084461E-7</v>
      </c>
      <c r="G186">
        <f>F186 / 'Reality Constants'!$B$4</f>
        <v>128458622141.43649</v>
      </c>
      <c r="H186">
        <f>F186 / 'Reality Constants'!$B$5</f>
        <v>5.7170389675234614E-14</v>
      </c>
      <c r="N186">
        <v>1500</v>
      </c>
      <c r="O186" t="s">
        <v>426</v>
      </c>
      <c r="P186">
        <f>N186 / ((1000/C186) * 'Reality Constants'!$B$6)</f>
        <v>3.4350546994354031E-22</v>
      </c>
    </row>
    <row r="187" spans="1:16" x14ac:dyDescent="0.3">
      <c r="A187" t="s">
        <v>253</v>
      </c>
      <c r="B187" t="s">
        <v>254</v>
      </c>
      <c r="C187" s="2">
        <v>137.90711400000001</v>
      </c>
      <c r="D187">
        <v>0.09</v>
      </c>
      <c r="E187">
        <f>C187 * 'Reality Constants'!$B$2</f>
        <v>2.290001506790043E-24</v>
      </c>
      <c r="F187">
        <f>E187 * ('Reality Constants'!$B$3 * 'Reality Constants'!$B$3)</f>
        <v>2.0581507135426667E-7</v>
      </c>
      <c r="G187">
        <f>F187 / 'Reality Constants'!$B$4</f>
        <v>128459663551.84447</v>
      </c>
      <c r="H187">
        <f>F187 / 'Reality Constants'!$B$5</f>
        <v>5.7170853153962969E-14</v>
      </c>
      <c r="N187">
        <v>2000</v>
      </c>
      <c r="O187" t="s">
        <v>426</v>
      </c>
      <c r="P187">
        <f>N187 / ((1000/C187) * 'Reality Constants'!$B$6)</f>
        <v>4.5801100631019597E-22</v>
      </c>
    </row>
    <row r="188" spans="1:16" x14ac:dyDescent="0.3">
      <c r="A188" t="s">
        <v>253</v>
      </c>
      <c r="B188" t="s">
        <v>255</v>
      </c>
      <c r="C188" s="2">
        <v>138.90635499999999</v>
      </c>
      <c r="D188">
        <v>99.91</v>
      </c>
      <c r="E188">
        <f>C188 * 'Reality Constants'!$B$2</f>
        <v>2.3065942939877098E-24</v>
      </c>
      <c r="F188">
        <f>E188 * ('Reality Constants'!$B$3 * 'Reality Constants'!$B$3)</f>
        <v>2.0730635669662476E-7</v>
      </c>
      <c r="G188">
        <f>F188 / 'Reality Constants'!$B$4</f>
        <v>129390450651.5383</v>
      </c>
      <c r="H188">
        <f>F188 / 'Reality Constants'!$B$5</f>
        <v>5.7585099082395767E-14</v>
      </c>
      <c r="N188">
        <v>2000</v>
      </c>
      <c r="O188" t="s">
        <v>426</v>
      </c>
      <c r="P188">
        <f>N188 / ((1000/C188) * 'Reality Constants'!$B$6)</f>
        <v>4.6132964131517768E-22</v>
      </c>
    </row>
    <row r="189" spans="1:16" x14ac:dyDescent="0.3">
      <c r="A189" t="s">
        <v>247</v>
      </c>
      <c r="B189" t="s">
        <v>256</v>
      </c>
      <c r="C189" s="2">
        <v>139.90544199999999</v>
      </c>
      <c r="D189">
        <v>88.48</v>
      </c>
      <c r="E189">
        <f>C189 * 'Reality Constants'!$B$2</f>
        <v>2.3231845239552107E-24</v>
      </c>
      <c r="F189">
        <f>E189 * ('Reality Constants'!$B$3 * 'Reality Constants'!$B$3)</f>
        <v>2.087974122065974E-7</v>
      </c>
      <c r="G189">
        <f>F189 / 'Reality Constants'!$B$4</f>
        <v>130321094301.1402</v>
      </c>
      <c r="H189">
        <f>F189 / 'Reality Constants'!$B$5</f>
        <v>5.7999281168499278E-14</v>
      </c>
      <c r="N189">
        <v>1500</v>
      </c>
      <c r="O189" t="s">
        <v>426</v>
      </c>
      <c r="P189">
        <f>N189 / ((1000/C189) * 'Reality Constants'!$B$6)</f>
        <v>3.4848582364662905E-22</v>
      </c>
    </row>
    <row r="190" spans="1:16" x14ac:dyDescent="0.3">
      <c r="A190" t="s">
        <v>257</v>
      </c>
      <c r="B190" t="s">
        <v>258</v>
      </c>
      <c r="C190" s="2">
        <v>140.907657</v>
      </c>
      <c r="D190">
        <v>100</v>
      </c>
      <c r="E190">
        <f>C190 * 'Reality Constants'!$B$2</f>
        <v>2.3398266955847871E-24</v>
      </c>
      <c r="F190">
        <f>E190 * ('Reality Constants'!$B$3 * 'Reality Constants'!$B$3)</f>
        <v>2.1029313600034827E-7</v>
      </c>
      <c r="G190">
        <f>F190 / 'Reality Constants'!$B$4</f>
        <v>131254651664.29849</v>
      </c>
      <c r="H190">
        <f>F190 / 'Reality Constants'!$B$5</f>
        <v>5.8414760000096735E-14</v>
      </c>
      <c r="N190">
        <v>103</v>
      </c>
      <c r="O190" t="s">
        <v>427</v>
      </c>
      <c r="P190">
        <f>N190 / ((1000/C190) * 'Reality Constants'!$B$6)</f>
        <v>2.4100778264696118E-23</v>
      </c>
    </row>
    <row r="191" spans="1:16" x14ac:dyDescent="0.3">
      <c r="A191" t="s">
        <v>259</v>
      </c>
      <c r="B191" t="s">
        <v>260</v>
      </c>
      <c r="C191" s="2">
        <v>141.90773100000001</v>
      </c>
      <c r="D191">
        <v>27.13</v>
      </c>
      <c r="E191">
        <f>C191 * 'Reality Constants'!$B$2</f>
        <v>2.3564333150728983E-24</v>
      </c>
      <c r="F191">
        <f>E191 * ('Reality Constants'!$B$3 * 'Reality Constants'!$B$3)</f>
        <v>2.1178566452697344E-7</v>
      </c>
      <c r="G191">
        <f>F191 / 'Reality Constants'!$B$4</f>
        <v>132186214698.58073</v>
      </c>
      <c r="H191">
        <f>F191 / 'Reality Constants'!$B$5</f>
        <v>5.8829351257492615E-14</v>
      </c>
      <c r="N191">
        <v>2.41</v>
      </c>
      <c r="O191" t="s">
        <v>420</v>
      </c>
      <c r="P191">
        <f>N191 / ((1000/C191) * 'Reality Constants'!$B$6)</f>
        <v>5.6791370260710737E-25</v>
      </c>
    </row>
    <row r="192" spans="1:16" x14ac:dyDescent="0.3">
      <c r="A192" t="s">
        <v>247</v>
      </c>
      <c r="B192" t="s">
        <v>261</v>
      </c>
      <c r="C192" s="2">
        <v>141.90924899999999</v>
      </c>
      <c r="D192">
        <v>11.08</v>
      </c>
      <c r="E192">
        <f>C192 * 'Reality Constants'!$B$2</f>
        <v>2.3564585220559643E-24</v>
      </c>
      <c r="F192">
        <f>E192 * ('Reality Constants'!$B$3 * 'Reality Constants'!$B$3)</f>
        <v>2.1178793001763052E-7</v>
      </c>
      <c r="G192">
        <f>F192 / 'Reality Constants'!$B$4</f>
        <v>132187628706.63017</v>
      </c>
      <c r="H192">
        <f>F192 / 'Reality Constants'!$B$5</f>
        <v>5.8829980560452924E-14</v>
      </c>
      <c r="N192">
        <v>1500</v>
      </c>
      <c r="O192" t="s">
        <v>426</v>
      </c>
      <c r="P192">
        <f>N192 / ((1000/C192) * 'Reality Constants'!$B$6)</f>
        <v>3.5347704001992695E-22</v>
      </c>
    </row>
    <row r="193" spans="1:16" x14ac:dyDescent="0.3">
      <c r="A193" t="s">
        <v>259</v>
      </c>
      <c r="B193" t="s">
        <v>262</v>
      </c>
      <c r="C193" s="2">
        <v>142.90982299999999</v>
      </c>
      <c r="D193">
        <v>12.18</v>
      </c>
      <c r="E193">
        <f>C193 * 'Reality Constants'!$B$2</f>
        <v>2.3730734442394199E-24</v>
      </c>
      <c r="F193">
        <f>E193 * ('Reality Constants'!$B$3 * 'Reality Constants'!$B$3)</f>
        <v>2.1328120475329953E-7</v>
      </c>
      <c r="G193">
        <f>F193 / 'Reality Constants'!$B$4</f>
        <v>133119657487.96428</v>
      </c>
      <c r="H193">
        <f>F193 / 'Reality Constants'!$B$5</f>
        <v>5.9244779098138752E-14</v>
      </c>
      <c r="N193">
        <v>2.41</v>
      </c>
      <c r="O193" t="s">
        <v>420</v>
      </c>
      <c r="P193">
        <f>N193 / ((1000/C193) * 'Reality Constants'!$B$6)</f>
        <v>5.7192406746927933E-25</v>
      </c>
    </row>
    <row r="194" spans="1:16" x14ac:dyDescent="0.3">
      <c r="A194" t="s">
        <v>259</v>
      </c>
      <c r="B194" t="s">
        <v>263</v>
      </c>
      <c r="C194" s="2">
        <v>143.91009600000001</v>
      </c>
      <c r="D194">
        <v>23.8</v>
      </c>
      <c r="E194">
        <f>C194 * 'Reality Constants'!$B$2</f>
        <v>2.3896833682002785E-24</v>
      </c>
      <c r="F194">
        <f>E194 * ('Reality Constants'!$B$3 * 'Reality Constants'!$B$3)</f>
        <v>2.1477403027112415E-7</v>
      </c>
      <c r="G194">
        <f>F194 / 'Reality Constants'!$B$4</f>
        <v>134051405889.57318</v>
      </c>
      <c r="H194">
        <f>F194 / 'Reality Constants'!$B$5</f>
        <v>5.9659452853090041E-14</v>
      </c>
      <c r="N194">
        <v>2.41</v>
      </c>
      <c r="O194" t="s">
        <v>420</v>
      </c>
      <c r="P194">
        <f>N194 / ((1000/C194) * 'Reality Constants'!$B$6)</f>
        <v>5.7592715270674209E-25</v>
      </c>
    </row>
    <row r="195" spans="1:16" x14ac:dyDescent="0.3">
      <c r="A195" t="s">
        <v>264</v>
      </c>
      <c r="B195" t="s">
        <v>265</v>
      </c>
      <c r="C195" s="2">
        <v>143.91200900000001</v>
      </c>
      <c r="D195">
        <v>3.1</v>
      </c>
      <c r="E195">
        <f>C195 * 'Reality Constants'!$B$2</f>
        <v>2.3897151343126668E-24</v>
      </c>
      <c r="F195">
        <f>E195 * ('Reality Constants'!$B$3 * 'Reality Constants'!$B$3)</f>
        <v>2.1477688526692589E-7</v>
      </c>
      <c r="G195">
        <f>F195 / 'Reality Constants'!$B$4</f>
        <v>134053187837.79359</v>
      </c>
      <c r="H195">
        <f>F195 / 'Reality Constants'!$B$5</f>
        <v>5.9660245907479416E-14</v>
      </c>
      <c r="N195">
        <v>3000</v>
      </c>
      <c r="O195" t="s">
        <v>426</v>
      </c>
      <c r="P195">
        <f>N195 / ((1000/C195) * 'Reality Constants'!$B$6)</f>
        <v>7.169312969113253E-22</v>
      </c>
    </row>
    <row r="196" spans="1:16" x14ac:dyDescent="0.3">
      <c r="A196" t="s">
        <v>259</v>
      </c>
      <c r="B196" t="s">
        <v>266</v>
      </c>
      <c r="C196" s="2">
        <v>144.91258199999999</v>
      </c>
      <c r="D196">
        <v>8.3000000000000007</v>
      </c>
      <c r="E196">
        <f>C196 * 'Reality Constants'!$B$2</f>
        <v>2.4063300398907315E-24</v>
      </c>
      <c r="F196">
        <f>E196 * ('Reality Constants'!$B$3 * 'Reality Constants'!$B$3)</f>
        <v>2.1627015851017677E-7</v>
      </c>
      <c r="G196">
        <f>F196 / 'Reality Constants'!$B$4</f>
        <v>134985215687.63358</v>
      </c>
      <c r="H196">
        <f>F196 / 'Reality Constants'!$B$5</f>
        <v>6.0075044030604651E-14</v>
      </c>
      <c r="N196">
        <v>2.41</v>
      </c>
      <c r="O196" t="s">
        <v>420</v>
      </c>
      <c r="P196">
        <f>N196 / ((1000/C196) * 'Reality Constants'!$B$6)</f>
        <v>5.7993909435403521E-25</v>
      </c>
    </row>
    <row r="197" spans="1:16" x14ac:dyDescent="0.3">
      <c r="A197" t="s">
        <v>259</v>
      </c>
      <c r="B197" t="s">
        <v>267</v>
      </c>
      <c r="C197" s="2">
        <v>145.91312600000001</v>
      </c>
      <c r="D197">
        <v>17.190000000000001</v>
      </c>
      <c r="E197">
        <f>C197 * 'Reality Constants'!$B$2</f>
        <v>2.4229444639124666E-24</v>
      </c>
      <c r="F197">
        <f>E197 * ('Reality Constants'!$B$3 * 'Reality Constants'!$B$3)</f>
        <v>2.1776338847330316E-7</v>
      </c>
      <c r="G197">
        <f>F197 / 'Reality Constants'!$B$4</f>
        <v>135917216524.14458</v>
      </c>
      <c r="H197">
        <f>F197 / 'Reality Constants'!$B$5</f>
        <v>6.0489830131473094E-14</v>
      </c>
      <c r="N197">
        <v>2.41</v>
      </c>
      <c r="O197" t="s">
        <v>420</v>
      </c>
      <c r="P197">
        <f>N197 / ((1000/C197) * 'Reality Constants'!$B$6)</f>
        <v>5.839432641315178E-25</v>
      </c>
    </row>
    <row r="198" spans="1:16" x14ac:dyDescent="0.3">
      <c r="A198" t="s">
        <v>264</v>
      </c>
      <c r="B198" t="s">
        <v>268</v>
      </c>
      <c r="C198" s="2">
        <v>146.914907</v>
      </c>
      <c r="D198">
        <v>15</v>
      </c>
      <c r="E198">
        <f>C198 * 'Reality Constants'!$B$2</f>
        <v>2.4395794288024838E-24</v>
      </c>
      <c r="F198">
        <f>E198 * ('Reality Constants'!$B$3 * 'Reality Constants'!$B$3)</f>
        <v>2.1925846455760397E-7</v>
      </c>
      <c r="G198">
        <f>F198 / 'Reality Constants'!$B$4</f>
        <v>136850369618.86185</v>
      </c>
      <c r="H198">
        <f>F198 / 'Reality Constants'!$B$5</f>
        <v>6.0905129043778879E-14</v>
      </c>
      <c r="N198">
        <v>3000</v>
      </c>
      <c r="O198" t="s">
        <v>426</v>
      </c>
      <c r="P198">
        <f>N198 / ((1000/C198) * 'Reality Constants'!$B$6)</f>
        <v>7.3189093490534712E-22</v>
      </c>
    </row>
    <row r="199" spans="1:16" x14ac:dyDescent="0.3">
      <c r="A199" t="s">
        <v>264</v>
      </c>
      <c r="B199" t="s">
        <v>269</v>
      </c>
      <c r="C199" s="2">
        <v>147.91483199999999</v>
      </c>
      <c r="D199">
        <v>11.3</v>
      </c>
      <c r="E199">
        <f>C199 * 'Reality Constants'!$B$2</f>
        <v>2.4561835740873822E-24</v>
      </c>
      <c r="F199">
        <f>E199 * ('Reality Constants'!$B$3 * 'Reality Constants'!$B$3)</f>
        <v>2.2075077071393406E-7</v>
      </c>
      <c r="G199">
        <f>F199 / 'Reality Constants'!$B$4</f>
        <v>137781793860.52264</v>
      </c>
      <c r="H199">
        <f>F199 / 'Reality Constants'!$B$5</f>
        <v>6.1319658531648348E-14</v>
      </c>
      <c r="N199">
        <v>3000</v>
      </c>
      <c r="O199" t="s">
        <v>426</v>
      </c>
      <c r="P199">
        <f>N199 / ((1000/C199) * 'Reality Constants'!$B$6)</f>
        <v>7.3687229491863169E-22</v>
      </c>
    </row>
    <row r="200" spans="1:16" x14ac:dyDescent="0.3">
      <c r="A200" t="s">
        <v>259</v>
      </c>
      <c r="B200" t="s">
        <v>270</v>
      </c>
      <c r="C200" s="2">
        <v>147.916901</v>
      </c>
      <c r="D200">
        <v>5.76</v>
      </c>
      <c r="E200">
        <f>C200 * 'Reality Constants'!$B$2</f>
        <v>2.456217930640718E-24</v>
      </c>
      <c r="F200">
        <f>E200 * ('Reality Constants'!$B$3 * 'Reality Constants'!$B$3)</f>
        <v>2.2075385852695747E-7</v>
      </c>
      <c r="G200">
        <f>F200 / 'Reality Constants'!$B$4</f>
        <v>137783721121.82324</v>
      </c>
      <c r="H200">
        <f>F200 / 'Reality Constants'!$B$5</f>
        <v>6.1320516257488181E-14</v>
      </c>
      <c r="N200">
        <v>2.41</v>
      </c>
      <c r="O200" t="s">
        <v>420</v>
      </c>
      <c r="P200">
        <f>N200 / ((1000/C200) * 'Reality Constants'!$B$6)</f>
        <v>5.9196235704085035E-25</v>
      </c>
    </row>
    <row r="201" spans="1:16" x14ac:dyDescent="0.3">
      <c r="A201" t="s">
        <v>264</v>
      </c>
      <c r="B201" t="s">
        <v>271</v>
      </c>
      <c r="C201" s="2">
        <v>148.917193</v>
      </c>
      <c r="D201">
        <v>13.8</v>
      </c>
      <c r="E201">
        <f>C201 * 'Reality Constants'!$B$2</f>
        <v>2.4728281701039995E-24</v>
      </c>
      <c r="F201">
        <f>E201 * ('Reality Constants'!$B$3 * 'Reality Constants'!$B$3)</f>
        <v>2.2224671240072576E-7</v>
      </c>
      <c r="G201">
        <f>F201 / 'Reality Constants'!$B$4</f>
        <v>138715487221.8201</v>
      </c>
      <c r="H201">
        <f>F201 / 'Reality Constants'!$B$5</f>
        <v>6.173519788909049E-14</v>
      </c>
      <c r="N201">
        <v>3000</v>
      </c>
      <c r="O201" t="s">
        <v>426</v>
      </c>
      <c r="P201">
        <f>N201 / ((1000/C201) * 'Reality Constants'!$B$6)</f>
        <v>7.418657904350714E-22</v>
      </c>
    </row>
    <row r="202" spans="1:16" x14ac:dyDescent="0.3">
      <c r="A202" t="s">
        <v>264</v>
      </c>
      <c r="B202" t="s">
        <v>272</v>
      </c>
      <c r="C202" s="2">
        <v>149.91728499999999</v>
      </c>
      <c r="D202">
        <v>7.4</v>
      </c>
      <c r="E202">
        <f>C202 * 'Reality Constants'!$B$2</f>
        <v>2.4894350884891427E-24</v>
      </c>
      <c r="F202">
        <f>E202 * ('Reality Constants'!$B$3 * 'Reality Constants'!$B$3)</f>
        <v>2.2373926779087647E-7</v>
      </c>
      <c r="G202">
        <f>F202 / 'Reality Constants'!$B$4</f>
        <v>139647067022.99619</v>
      </c>
      <c r="H202">
        <f>F202 / 'Reality Constants'!$B$5</f>
        <v>6.2149796608576796E-14</v>
      </c>
      <c r="N202">
        <v>3000</v>
      </c>
      <c r="O202" t="s">
        <v>426</v>
      </c>
      <c r="P202">
        <f>N202 / ((1000/C202) * 'Reality Constants'!$B$6)</f>
        <v>7.4684798239787442E-22</v>
      </c>
    </row>
    <row r="203" spans="1:16" x14ac:dyDescent="0.3">
      <c r="A203" t="s">
        <v>259</v>
      </c>
      <c r="B203" t="s">
        <v>273</v>
      </c>
      <c r="C203" s="2">
        <v>149.92089999999999</v>
      </c>
      <c r="D203">
        <v>5.64</v>
      </c>
      <c r="E203">
        <f>C203 * 'Reality Constants'!$B$2</f>
        <v>2.4894951169764842E-24</v>
      </c>
      <c r="F203">
        <f>E203 * ('Reality Constants'!$B$3 * 'Reality Constants'!$B$3)</f>
        <v>2.2374466288226347E-7</v>
      </c>
      <c r="G203">
        <f>F203 / 'Reality Constants'!$B$4</f>
        <v>139650434374.18115</v>
      </c>
      <c r="H203">
        <f>F203 / 'Reality Constants'!$B$5</f>
        <v>6.2151295245073189E-14</v>
      </c>
      <c r="N203">
        <v>2.41</v>
      </c>
      <c r="O203" t="s">
        <v>420</v>
      </c>
      <c r="P203">
        <f>N203 / ((1000/C203) * 'Reality Constants'!$B$6)</f>
        <v>5.9998234639654608E-25</v>
      </c>
    </row>
    <row r="204" spans="1:16" x14ac:dyDescent="0.3">
      <c r="A204" t="s">
        <v>274</v>
      </c>
      <c r="B204" t="s">
        <v>275</v>
      </c>
      <c r="C204" s="2">
        <v>150.91986</v>
      </c>
      <c r="D204">
        <v>47.8</v>
      </c>
      <c r="E204">
        <f>C204 * 'Reality Constants'!$B$2</f>
        <v>2.5060832380593674E-24</v>
      </c>
      <c r="F204">
        <f>E204 * ('Reality Constants'!$B$3 * 'Reality Constants'!$B$3)</f>
        <v>2.2523552885513895E-7</v>
      </c>
      <c r="G204">
        <f>F204 / 'Reality Constants'!$B$4</f>
        <v>140580959724.03186</v>
      </c>
      <c r="H204">
        <f>F204 / 'Reality Constants'!$B$5</f>
        <v>6.2565424681983047E-14</v>
      </c>
      <c r="N204">
        <v>1600</v>
      </c>
      <c r="O204" t="s">
        <v>428</v>
      </c>
      <c r="P204">
        <f>N204 / ((1000/C204) * 'Reality Constants'!$B$6)</f>
        <v>4.0098269013616735E-22</v>
      </c>
    </row>
    <row r="205" spans="1:16" x14ac:dyDescent="0.3">
      <c r="A205" t="s">
        <v>264</v>
      </c>
      <c r="B205" t="s">
        <v>276</v>
      </c>
      <c r="C205" s="2">
        <v>151.91974099999999</v>
      </c>
      <c r="D205">
        <v>26.7</v>
      </c>
      <c r="E205">
        <f>C205 * 'Reality Constants'!$B$2</f>
        <v>2.5226866527070751E-24</v>
      </c>
      <c r="F205">
        <f>E205 * ('Reality Constants'!$B$3 * 'Reality Constants'!$B$3)</f>
        <v>2.2672776934507315E-7</v>
      </c>
      <c r="G205">
        <f>F205 / 'Reality Constants'!$B$4</f>
        <v>141512342979.95206</v>
      </c>
      <c r="H205">
        <f>F205 / 'Reality Constants'!$B$5</f>
        <v>6.2979935929186985E-14</v>
      </c>
      <c r="N205">
        <v>3000</v>
      </c>
      <c r="O205" t="s">
        <v>426</v>
      </c>
      <c r="P205">
        <f>N205 / ((1000/C205) * 'Reality Constants'!$B$6)</f>
        <v>7.5682368482231811E-22</v>
      </c>
    </row>
    <row r="206" spans="1:16" x14ac:dyDescent="0.3">
      <c r="A206" t="s">
        <v>277</v>
      </c>
      <c r="B206" t="s">
        <v>278</v>
      </c>
      <c r="C206" s="2">
        <v>151.919803</v>
      </c>
      <c r="D206">
        <v>0.2</v>
      </c>
      <c r="E206">
        <f>C206 * 'Reality Constants'!$B$2</f>
        <v>2.5226876822412982E-24</v>
      </c>
      <c r="F206">
        <f>E206 * ('Reality Constants'!$B$3 * 'Reality Constants'!$B$3)</f>
        <v>2.2672786187499461E-7</v>
      </c>
      <c r="G206">
        <f>F206 / 'Reality Constants'!$B$4</f>
        <v>141512400732.58652</v>
      </c>
      <c r="H206">
        <f>F206 / 'Reality Constants'!$B$5</f>
        <v>6.2979961631942942E-14</v>
      </c>
      <c r="N206">
        <v>55</v>
      </c>
      <c r="O206" t="s">
        <v>416</v>
      </c>
      <c r="P206">
        <f>N206 / ((1000/C206) * 'Reality Constants'!$B$6)</f>
        <v>1.3875106550979743E-23</v>
      </c>
    </row>
    <row r="207" spans="1:16" x14ac:dyDescent="0.3">
      <c r="A207" t="s">
        <v>274</v>
      </c>
      <c r="B207" t="s">
        <v>279</v>
      </c>
      <c r="C207" s="2">
        <v>152.921243</v>
      </c>
      <c r="D207">
        <v>52.2</v>
      </c>
      <c r="E207">
        <f>C207 * 'Reality Constants'!$B$2</f>
        <v>2.5393169846930907E-24</v>
      </c>
      <c r="F207">
        <f>E207 * ('Reality Constants'!$B$3 * 'Reality Constants'!$B$3)</f>
        <v>2.2822242904472756E-7</v>
      </c>
      <c r="G207">
        <f>F207 / 'Reality Constants'!$B$4</f>
        <v>142445236187.81445</v>
      </c>
      <c r="H207">
        <f>F207 / 'Reality Constants'!$B$5</f>
        <v>6.3395119179090991E-14</v>
      </c>
      <c r="N207">
        <v>1600</v>
      </c>
      <c r="O207" t="s">
        <v>428</v>
      </c>
      <c r="P207">
        <f>N207 / ((1000/C207) * 'Reality Constants'!$B$6)</f>
        <v>4.0630021388243111E-22</v>
      </c>
    </row>
    <row r="208" spans="1:16" x14ac:dyDescent="0.3">
      <c r="A208" t="s">
        <v>277</v>
      </c>
      <c r="B208" t="s">
        <v>280</v>
      </c>
      <c r="C208" s="2">
        <v>153.92087599999999</v>
      </c>
      <c r="D208">
        <v>2.1800000000000002</v>
      </c>
      <c r="E208">
        <f>C208 * 'Reality Constants'!$B$2</f>
        <v>2.5559162812039076E-24</v>
      </c>
      <c r="F208">
        <f>E208 * ('Reality Constants'!$B$3 * 'Reality Constants'!$B$3)</f>
        <v>2.2971429941497601E-7</v>
      </c>
      <c r="G208">
        <f>F208 / 'Reality Constants'!$B$4</f>
        <v>143376388433.19693</v>
      </c>
      <c r="H208">
        <f>F208 / 'Reality Constants'!$B$5</f>
        <v>6.3809527615271115E-14</v>
      </c>
      <c r="N208">
        <v>55</v>
      </c>
      <c r="O208" t="s">
        <v>416</v>
      </c>
      <c r="P208">
        <f>N208 / ((1000/C208) * 'Reality Constants'!$B$6)</f>
        <v>1.4057868116904684E-23</v>
      </c>
    </row>
    <row r="209" spans="1:16" x14ac:dyDescent="0.3">
      <c r="A209" t="s">
        <v>264</v>
      </c>
      <c r="B209" t="s">
        <v>281</v>
      </c>
      <c r="C209" s="2">
        <v>153.92221799999999</v>
      </c>
      <c r="D209">
        <v>22.7</v>
      </c>
      <c r="E209">
        <f>C209 * 'Reality Constants'!$B$2</f>
        <v>2.5559385656382125E-24</v>
      </c>
      <c r="F209">
        <f>E209 * ('Reality Constants'!$B$3 * 'Reality Constants'!$B$3)</f>
        <v>2.2971630224004969E-7</v>
      </c>
      <c r="G209">
        <f>F209 / 'Reality Constants'!$B$4</f>
        <v>143377638498.28412</v>
      </c>
      <c r="H209">
        <f>F209 / 'Reality Constants'!$B$5</f>
        <v>6.3810083955569365E-14</v>
      </c>
      <c r="N209">
        <v>3000</v>
      </c>
      <c r="O209" t="s">
        <v>426</v>
      </c>
      <c r="P209">
        <f>N209 / ((1000/C209) * 'Reality Constants'!$B$6)</f>
        <v>7.6679949186316831E-22</v>
      </c>
    </row>
    <row r="210" spans="1:16" x14ac:dyDescent="0.3">
      <c r="A210" t="s">
        <v>277</v>
      </c>
      <c r="B210" t="s">
        <v>282</v>
      </c>
      <c r="C210" s="2">
        <v>154.82262900000001</v>
      </c>
      <c r="D210">
        <v>14.8</v>
      </c>
      <c r="E210">
        <f>C210 * 'Reality Constants'!$B$2</f>
        <v>2.570890242074066E-24</v>
      </c>
      <c r="F210">
        <f>E210 * ('Reality Constants'!$B$3 * 'Reality Constants'!$B$3)</f>
        <v>2.3106009190280175E-7</v>
      </c>
      <c r="G210">
        <f>F210 / 'Reality Constants'!$B$4</f>
        <v>144216366035.70749</v>
      </c>
      <c r="H210">
        <f>F210 / 'Reality Constants'!$B$5</f>
        <v>6.4183358861889368E-14</v>
      </c>
      <c r="N210">
        <v>55</v>
      </c>
      <c r="O210" t="s">
        <v>416</v>
      </c>
      <c r="P210">
        <f>N210 / ((1000/C210) * 'Reality Constants'!$B$6)</f>
        <v>1.4140226826635669E-23</v>
      </c>
    </row>
    <row r="211" spans="1:16" x14ac:dyDescent="0.3">
      <c r="A211" t="s">
        <v>277</v>
      </c>
      <c r="B211" t="s">
        <v>283</v>
      </c>
      <c r="C211" s="2">
        <v>155.92213000000001</v>
      </c>
      <c r="D211">
        <v>20.47</v>
      </c>
      <c r="E211">
        <f>C211 * 'Reality Constants'!$B$2</f>
        <v>2.589147885742232E-24</v>
      </c>
      <c r="F211">
        <f>E211 * ('Reality Constants'!$B$3 * 'Reality Constants'!$B$3)</f>
        <v>2.3270100708263131E-7</v>
      </c>
      <c r="G211">
        <f>F211 / 'Reality Constants'!$B$4</f>
        <v>145240544734.24014</v>
      </c>
      <c r="H211">
        <f>F211 / 'Reality Constants'!$B$5</f>
        <v>6.4639168634064245E-14</v>
      </c>
      <c r="N211">
        <v>55</v>
      </c>
      <c r="O211" t="s">
        <v>416</v>
      </c>
      <c r="P211">
        <f>N211 / ((1000/C211) * 'Reality Constants'!$B$6)</f>
        <v>1.4240646213882432E-23</v>
      </c>
    </row>
    <row r="212" spans="1:16" x14ac:dyDescent="0.3">
      <c r="A212" t="s">
        <v>284</v>
      </c>
      <c r="B212" t="s">
        <v>285</v>
      </c>
      <c r="C212" s="2">
        <v>155.92428699999999</v>
      </c>
      <c r="D212">
        <v>0.06</v>
      </c>
      <c r="E212">
        <f>C212 * 'Reality Constants'!$B$2</f>
        <v>2.5891837035699486E-24</v>
      </c>
      <c r="F212">
        <f>E212 * ('Reality Constants'!$B$3 * 'Reality Constants'!$B$3)</f>
        <v>2.3270422622844644E-7</v>
      </c>
      <c r="G212">
        <f>F212 / 'Reality Constants'!$B$4</f>
        <v>145242553967.02185</v>
      </c>
      <c r="H212">
        <f>F212 / 'Reality Constants'!$B$5</f>
        <v>6.4640062841235127E-14</v>
      </c>
      <c r="N212">
        <v>350</v>
      </c>
      <c r="O212" t="s">
        <v>416</v>
      </c>
      <c r="P212">
        <f>N212 / ((1000/C212) * 'Reality Constants'!$B$6)</f>
        <v>9.0623547741614072E-23</v>
      </c>
    </row>
    <row r="213" spans="1:16" x14ac:dyDescent="0.3">
      <c r="A213" t="s">
        <v>277</v>
      </c>
      <c r="B213" t="s">
        <v>286</v>
      </c>
      <c r="C213" s="2">
        <v>156.923967</v>
      </c>
      <c r="D213">
        <v>15.65</v>
      </c>
      <c r="E213">
        <f>C213 * 'Reality Constants'!$B$2</f>
        <v>2.6057837805341281E-24</v>
      </c>
      <c r="F213">
        <f>E213 * ('Reality Constants'!$B$3 * 'Reality Constants'!$B$3)</f>
        <v>2.3419616674234506E-7</v>
      </c>
      <c r="G213">
        <f>F213 / 'Reality Constants'!$B$4</f>
        <v>146173749992.62723</v>
      </c>
      <c r="H213">
        <f>F213 / 'Reality Constants'!$B$5</f>
        <v>6.5054490761762521E-14</v>
      </c>
      <c r="N213">
        <v>55</v>
      </c>
      <c r="O213" t="s">
        <v>416</v>
      </c>
      <c r="P213">
        <f>N213 / ((1000/C213) * 'Reality Constants'!$B$6)</f>
        <v>1.4332145773829293E-23</v>
      </c>
    </row>
    <row r="214" spans="1:16" x14ac:dyDescent="0.3">
      <c r="A214" t="s">
        <v>277</v>
      </c>
      <c r="B214" t="s">
        <v>287</v>
      </c>
      <c r="C214" s="2">
        <v>157.92411100000001</v>
      </c>
      <c r="D214">
        <v>24.84</v>
      </c>
      <c r="E214">
        <f>C214 * 'Reality Constants'!$B$2</f>
        <v>2.6223915623995874E-24</v>
      </c>
      <c r="F214">
        <f>E214 * ('Reality Constants'!$B$3 * 'Reality Constants'!$B$3)</f>
        <v>2.3568879973823636E-7</v>
      </c>
      <c r="G214">
        <f>F214 / 'Reality Constants'!$B$4</f>
        <v>147105378231.49677</v>
      </c>
      <c r="H214">
        <f>F214 / 'Reality Constants'!$B$5</f>
        <v>6.5469111038398985E-14</v>
      </c>
      <c r="N214">
        <v>55</v>
      </c>
      <c r="O214" t="s">
        <v>416</v>
      </c>
      <c r="P214">
        <f>N214 / ((1000/C214) * 'Reality Constants'!$B$6)</f>
        <v>1.4423490709066757E-23</v>
      </c>
    </row>
    <row r="215" spans="1:16" x14ac:dyDescent="0.3">
      <c r="A215" t="s">
        <v>284</v>
      </c>
      <c r="B215" t="s">
        <v>288</v>
      </c>
      <c r="C215" s="2">
        <v>157.92441199999999</v>
      </c>
      <c r="D215">
        <v>0.1</v>
      </c>
      <c r="E215">
        <f>C215 * 'Reality Constants'!$B$2</f>
        <v>2.6223965606221846E-24</v>
      </c>
      <c r="F215">
        <f>E215 * ('Reality Constants'!$B$3 * 'Reality Constants'!$B$3)</f>
        <v>2.3568924895608072E-7</v>
      </c>
      <c r="G215">
        <f>F215 / 'Reality Constants'!$B$4</f>
        <v>147105658611.22195</v>
      </c>
      <c r="H215">
        <f>F215 / 'Reality Constants'!$B$5</f>
        <v>6.5469235821133536E-14</v>
      </c>
      <c r="N215">
        <v>350</v>
      </c>
      <c r="O215" t="s">
        <v>416</v>
      </c>
      <c r="P215">
        <f>N215 / ((1000/C215) * 'Reality Constants'!$B$6)</f>
        <v>9.1786024908668218E-23</v>
      </c>
    </row>
    <row r="216" spans="1:16" x14ac:dyDescent="0.3">
      <c r="A216" t="s">
        <v>289</v>
      </c>
      <c r="B216" t="s">
        <v>290</v>
      </c>
      <c r="C216" s="2">
        <v>158.92535000000001</v>
      </c>
      <c r="D216">
        <v>100</v>
      </c>
      <c r="E216">
        <f>C216 * 'Reality Constants'!$B$2</f>
        <v>2.6390175271678514E-24</v>
      </c>
      <c r="F216">
        <f>E216 * ('Reality Constants'!$B$3 * 'Reality Constants'!$B$3)</f>
        <v>2.3718306693193367E-7</v>
      </c>
      <c r="G216">
        <f>F216 / 'Reality Constants'!$B$4</f>
        <v>148038026456.40982</v>
      </c>
      <c r="H216">
        <f>F216 / 'Reality Constants'!$B$5</f>
        <v>6.5884185258870465E-14</v>
      </c>
      <c r="N216">
        <v>550</v>
      </c>
      <c r="O216" t="s">
        <v>416</v>
      </c>
      <c r="P216">
        <f>N216 / ((1000/C216) * 'Reality Constants'!$B$6)</f>
        <v>1.451493565260711E-22</v>
      </c>
    </row>
    <row r="217" spans="1:16" x14ac:dyDescent="0.3">
      <c r="A217" t="s">
        <v>284</v>
      </c>
      <c r="B217" t="s">
        <v>291</v>
      </c>
      <c r="C217" s="2">
        <v>159.92520300000001</v>
      </c>
      <c r="D217">
        <v>2.34</v>
      </c>
      <c r="E217">
        <f>C217 * 'Reality Constants'!$B$2</f>
        <v>2.6556204768646202E-24</v>
      </c>
      <c r="F217">
        <f>E217 * ('Reality Constants'!$B$3 * 'Reality Constants'!$B$3)</f>
        <v>2.3867526563416144E-7</v>
      </c>
      <c r="G217">
        <f>F217 / 'Reality Constants'!$B$4</f>
        <v>148969383630.49515</v>
      </c>
      <c r="H217">
        <f>F217 / 'Reality Constants'!$B$5</f>
        <v>6.6298684898378177E-14</v>
      </c>
      <c r="N217">
        <v>350</v>
      </c>
      <c r="O217" t="s">
        <v>416</v>
      </c>
      <c r="P217">
        <f>N217 / ((1000/C217) * 'Reality Constants'!$B$6)</f>
        <v>9.2948889156426451E-23</v>
      </c>
    </row>
    <row r="218" spans="1:16" x14ac:dyDescent="0.3">
      <c r="A218" t="s">
        <v>277</v>
      </c>
      <c r="B218" t="s">
        <v>292</v>
      </c>
      <c r="C218" s="2">
        <v>159.92706100000001</v>
      </c>
      <c r="D218">
        <v>21.86</v>
      </c>
      <c r="E218">
        <f>C218 * 'Reality Constants'!$B$2</f>
        <v>2.6556513296805205E-24</v>
      </c>
      <c r="F218">
        <f>E218 * ('Reality Constants'!$B$3 * 'Reality Constants'!$B$3)</f>
        <v>2.3867803854696834E-7</v>
      </c>
      <c r="G218">
        <f>F218 / 'Reality Constants'!$B$4</f>
        <v>148971114346.53986</v>
      </c>
      <c r="H218">
        <f>F218 / 'Reality Constants'!$B$5</f>
        <v>6.6299455151935654E-14</v>
      </c>
      <c r="N218">
        <v>55</v>
      </c>
      <c r="O218" t="s">
        <v>416</v>
      </c>
      <c r="P218">
        <f>N218 / ((1000/C218) * 'Reality Constants'!$B$6)</f>
        <v>1.4606423704749257E-23</v>
      </c>
    </row>
    <row r="219" spans="1:16" x14ac:dyDescent="0.3">
      <c r="A219" t="s">
        <v>284</v>
      </c>
      <c r="B219" t="s">
        <v>293</v>
      </c>
      <c r="C219" s="2">
        <v>160.926939</v>
      </c>
      <c r="D219">
        <v>18.899999999999999</v>
      </c>
      <c r="E219">
        <f>C219 * 'Reality Constants'!$B$2</f>
        <v>2.6722546945120563E-24</v>
      </c>
      <c r="F219">
        <f>E219 * ('Reality Constants'!$B$3 * 'Reality Constants'!$B$3)</f>
        <v>2.4017027455964833E-7</v>
      </c>
      <c r="G219">
        <f>F219 / 'Reality Constants'!$B$4</f>
        <v>149902494807.97778</v>
      </c>
      <c r="H219">
        <f>F219 / 'Reality Constants'!$B$5</f>
        <v>6.6713965155457865E-14</v>
      </c>
      <c r="N219">
        <v>350</v>
      </c>
      <c r="O219" t="s">
        <v>416</v>
      </c>
      <c r="P219">
        <f>N219 / ((1000/C219) * 'Reality Constants'!$B$6)</f>
        <v>9.3531100381932927E-23</v>
      </c>
    </row>
    <row r="220" spans="1:16" x14ac:dyDescent="0.3">
      <c r="A220" t="s">
        <v>284</v>
      </c>
      <c r="B220" t="s">
        <v>294</v>
      </c>
      <c r="C220" s="2">
        <v>161.926805</v>
      </c>
      <c r="D220">
        <v>25.5</v>
      </c>
      <c r="E220">
        <f>C220 * 'Reality Constants'!$B$2</f>
        <v>2.6888578600789039E-24</v>
      </c>
      <c r="F220">
        <f>E220 * ('Reality Constants'!$B$3 * 'Reality Constants'!$B$3)</f>
        <v>2.4166249266331123E-7</v>
      </c>
      <c r="G220">
        <f>F220 / 'Reality Constants'!$B$4</f>
        <v>150833864091.48645</v>
      </c>
      <c r="H220">
        <f>F220 / 'Reality Constants'!$B$5</f>
        <v>6.7128470184253116E-14</v>
      </c>
      <c r="N220">
        <v>350</v>
      </c>
      <c r="O220" t="s">
        <v>416</v>
      </c>
      <c r="P220">
        <f>N220 / ((1000/C220) * 'Reality Constants'!$B$6)</f>
        <v>9.411222475921621E-23</v>
      </c>
    </row>
    <row r="221" spans="1:16" x14ac:dyDescent="0.3">
      <c r="A221" t="s">
        <v>295</v>
      </c>
      <c r="B221" t="s">
        <v>296</v>
      </c>
      <c r="C221" s="2">
        <v>161.928787</v>
      </c>
      <c r="D221">
        <v>0.14000000000000001</v>
      </c>
      <c r="E221">
        <f>C221 * 'Reality Constants'!$B$2</f>
        <v>2.68889077196325E-24</v>
      </c>
      <c r="F221">
        <f>E221 * ('Reality Constants'!$B$3 * 'Reality Constants'!$B$3)</f>
        <v>2.4166545063596105E-7</v>
      </c>
      <c r="G221">
        <f>F221 / 'Reality Constants'!$B$4</f>
        <v>150835710312.80002</v>
      </c>
      <c r="H221">
        <f>F221 / 'Reality Constants'!$B$5</f>
        <v>6.712929184332252E-14</v>
      </c>
      <c r="N221">
        <v>95</v>
      </c>
      <c r="O221" t="s">
        <v>416</v>
      </c>
      <c r="P221">
        <f>N221 / ((1000/C221) * 'Reality Constants'!$B$6)</f>
        <v>2.5545059390567921E-23</v>
      </c>
    </row>
    <row r="222" spans="1:16" x14ac:dyDescent="0.3">
      <c r="A222" t="s">
        <v>284</v>
      </c>
      <c r="B222" t="s">
        <v>297</v>
      </c>
      <c r="C222" s="2">
        <v>162.92873700000001</v>
      </c>
      <c r="D222">
        <v>24.9</v>
      </c>
      <c r="E222">
        <f>C222 * 'Reality Constants'!$B$2</f>
        <v>2.7054953323829159E-24</v>
      </c>
      <c r="F222">
        <f>E222 * ('Reality Constants'!$B$3 * 'Reality Constants'!$B$3)</f>
        <v>2.4315779410274336E-7</v>
      </c>
      <c r="G222">
        <f>F222 / 'Reality Constants'!$B$4</f>
        <v>151767157841.81342</v>
      </c>
      <c r="H222">
        <f>F222 / 'Reality Constants'!$B$5</f>
        <v>6.7543831695206486E-14</v>
      </c>
      <c r="N222">
        <v>350</v>
      </c>
      <c r="O222" t="s">
        <v>416</v>
      </c>
      <c r="P222">
        <f>N222 / ((1000/C222) * 'Reality Constants'!$B$6)</f>
        <v>9.4694549900365342E-23</v>
      </c>
    </row>
    <row r="223" spans="1:16" x14ac:dyDescent="0.3">
      <c r="A223" t="s">
        <v>284</v>
      </c>
      <c r="B223" t="s">
        <v>298</v>
      </c>
      <c r="C223" s="2">
        <v>163.92918299999999</v>
      </c>
      <c r="D223">
        <v>28.2</v>
      </c>
      <c r="E223">
        <f>C223 * 'Reality Constants'!$B$2</f>
        <v>2.7221081290763629E-24</v>
      </c>
      <c r="F223">
        <f>E223 * ('Reality Constants'!$B$3 * 'Reality Constants'!$B$3)</f>
        <v>2.4465087780889705E-7</v>
      </c>
      <c r="G223">
        <f>F223 / 'Reality Constants'!$B$4</f>
        <v>152699067391.90219</v>
      </c>
      <c r="H223">
        <f>F223 / 'Reality Constants'!$B$5</f>
        <v>6.7958577169138069E-14</v>
      </c>
      <c r="N223">
        <v>350</v>
      </c>
      <c r="O223" t="s">
        <v>416</v>
      </c>
      <c r="P223">
        <f>N223 / ((1000/C223) * 'Reality Constants'!$B$6)</f>
        <v>9.5276011374958479E-23</v>
      </c>
    </row>
    <row r="224" spans="1:16" x14ac:dyDescent="0.3">
      <c r="A224" t="s">
        <v>295</v>
      </c>
      <c r="B224" t="s">
        <v>299</v>
      </c>
      <c r="C224" s="2">
        <v>163.92921100000001</v>
      </c>
      <c r="D224">
        <v>1.61</v>
      </c>
      <c r="E224">
        <f>C224 * 'Reality Constants'!$B$2</f>
        <v>2.7221085940273022E-24</v>
      </c>
      <c r="F224">
        <f>E224 * ('Reality Constants'!$B$3 * 'Reality Constants'!$B$3)</f>
        <v>2.4465091959660354E-7</v>
      </c>
      <c r="G224">
        <f>F224 / 'Reality Constants'!$B$4</f>
        <v>152699093473.73712</v>
      </c>
      <c r="H224">
        <f>F224 / 'Reality Constants'!$B$5</f>
        <v>6.795858877683432E-14</v>
      </c>
      <c r="N224">
        <v>95</v>
      </c>
      <c r="O224" t="s">
        <v>416</v>
      </c>
      <c r="P224">
        <f>N224 / ((1000/C224) * 'Reality Constants'!$B$6)</f>
        <v>2.5860636076054472E-23</v>
      </c>
    </row>
    <row r="225" spans="1:16" x14ac:dyDescent="0.3">
      <c r="A225" t="s">
        <v>300</v>
      </c>
      <c r="B225" t="s">
        <v>301</v>
      </c>
      <c r="C225" s="2">
        <v>164.93033199999999</v>
      </c>
      <c r="D225">
        <v>100</v>
      </c>
      <c r="E225">
        <f>C225 * 'Reality Constants'!$B$2</f>
        <v>2.7387325993594646E-24</v>
      </c>
      <c r="F225">
        <f>E225 * ('Reality Constants'!$B$3 * 'Reality Constants'!$B$3)</f>
        <v>2.4614501068496645E-7</v>
      </c>
      <c r="G225">
        <f>F225 / 'Reality Constants'!$B$4</f>
        <v>153631631782.34595</v>
      </c>
      <c r="H225">
        <f>F225 / 'Reality Constants'!$B$5</f>
        <v>6.8373614079157341E-14</v>
      </c>
      <c r="N225">
        <v>1400</v>
      </c>
      <c r="O225" t="s">
        <v>429</v>
      </c>
      <c r="P225">
        <f>N225 / ((1000/C225) * 'Reality Constants'!$B$6)</f>
        <v>3.8343152573895718E-22</v>
      </c>
    </row>
    <row r="226" spans="1:16" x14ac:dyDescent="0.3">
      <c r="A226" t="s">
        <v>295</v>
      </c>
      <c r="B226" t="s">
        <v>302</v>
      </c>
      <c r="C226" s="2">
        <v>165.930305</v>
      </c>
      <c r="D226">
        <v>33.6</v>
      </c>
      <c r="E226">
        <f>C226 * 'Reality Constants'!$B$2</f>
        <v>2.7553375417031162E-24</v>
      </c>
      <c r="F226">
        <f>E226 * ('Reality Constants'!$B$3 * 'Reality Constants'!$B$3)</f>
        <v>2.4763738847736481E-7</v>
      </c>
      <c r="G226">
        <f>F226 / 'Reality Constants'!$B$4</f>
        <v>154563100735.72375</v>
      </c>
      <c r="H226">
        <f>F226 / 'Reality Constants'!$B$5</f>
        <v>6.8788163465934672E-14</v>
      </c>
      <c r="N226">
        <v>95</v>
      </c>
      <c r="O226" t="s">
        <v>416</v>
      </c>
      <c r="P226">
        <f>N226 / ((1000/C226) * 'Reality Constants'!$B$6)</f>
        <v>2.617631845732315E-23</v>
      </c>
    </row>
    <row r="227" spans="1:16" x14ac:dyDescent="0.3">
      <c r="A227" t="s">
        <v>295</v>
      </c>
      <c r="B227" t="s">
        <v>303</v>
      </c>
      <c r="C227" s="2">
        <v>166.932061</v>
      </c>
      <c r="D227">
        <v>22.95</v>
      </c>
      <c r="E227">
        <f>C227 * 'Reality Constants'!$B$2</f>
        <v>2.7719720914583667E-24</v>
      </c>
      <c r="F227">
        <f>E227 * ('Reality Constants'!$B$3 * 'Reality Constants'!$B$3)</f>
        <v>2.4913242725121343E-7</v>
      </c>
      <c r="G227">
        <f>F227 / 'Reality Constants'!$B$4</f>
        <v>155496230543.08844</v>
      </c>
      <c r="H227">
        <f>F227 / 'Reality Constants'!$B$5</f>
        <v>6.9203452014225946E-14</v>
      </c>
      <c r="N227">
        <v>95</v>
      </c>
      <c r="O227" t="s">
        <v>416</v>
      </c>
      <c r="P227">
        <f>N227 / ((1000/C227) * 'Reality Constants'!$B$6)</f>
        <v>2.6334350373630028E-23</v>
      </c>
    </row>
    <row r="228" spans="1:16" x14ac:dyDescent="0.3">
      <c r="A228" t="s">
        <v>295</v>
      </c>
      <c r="B228" t="s">
        <v>304</v>
      </c>
      <c r="C228" s="2">
        <v>167.93238299999999</v>
      </c>
      <c r="D228">
        <v>26.8</v>
      </c>
      <c r="E228">
        <f>C228 * 'Reality Constants'!$B$2</f>
        <v>2.7885828290833683E-24</v>
      </c>
      <c r="F228">
        <f>E228 * ('Reality Constants'!$B$3 * 'Reality Constants'!$B$3)</f>
        <v>2.5062532589752431E-7</v>
      </c>
      <c r="G228">
        <f>F228 / 'Reality Constants'!$B$4</f>
        <v>156428024587.90839</v>
      </c>
      <c r="H228">
        <f>F228 / 'Reality Constants'!$B$5</f>
        <v>6.9618146082645641E-14</v>
      </c>
      <c r="N228">
        <v>95</v>
      </c>
      <c r="O228" t="s">
        <v>416</v>
      </c>
      <c r="P228">
        <f>N228 / ((1000/C228) * 'Reality Constants'!$B$6)</f>
        <v>2.6492156069412155E-23</v>
      </c>
    </row>
    <row r="229" spans="1:16" x14ac:dyDescent="0.3">
      <c r="A229" t="s">
        <v>305</v>
      </c>
      <c r="B229" t="s">
        <v>306</v>
      </c>
      <c r="C229" s="2">
        <v>167.933908</v>
      </c>
      <c r="D229">
        <v>0.13</v>
      </c>
      <c r="E229">
        <f>C229 * 'Reality Constants'!$B$2</f>
        <v>2.7886081523041694E-24</v>
      </c>
      <c r="F229">
        <f>E229 * ('Reality Constants'!$B$3 * 'Reality Constants'!$B$3)</f>
        <v>2.5062760183510804E-7</v>
      </c>
      <c r="G229">
        <f>F229 / 'Reality Constants'!$B$4</f>
        <v>156429445116.41656</v>
      </c>
      <c r="H229">
        <f>F229 / 'Reality Constants'!$B$5</f>
        <v>6.9618778287530009E-14</v>
      </c>
      <c r="N229">
        <v>1600</v>
      </c>
      <c r="O229" t="s">
        <v>429</v>
      </c>
      <c r="P229">
        <f>N229 / ((1000/C229) * 'Reality Constants'!$B$6)</f>
        <v>4.4618773297907673E-22</v>
      </c>
    </row>
    <row r="230" spans="1:16" x14ac:dyDescent="0.3">
      <c r="A230" t="s">
        <v>307</v>
      </c>
      <c r="B230" t="s">
        <v>308</v>
      </c>
      <c r="C230" s="2">
        <v>168.934225</v>
      </c>
      <c r="D230">
        <v>100</v>
      </c>
      <c r="E230">
        <f>C230 * 'Reality Constants'!$B$2</f>
        <v>2.8052188069022179E-24</v>
      </c>
      <c r="F230">
        <f>E230 * ('Reality Constants'!$B$3 * 'Reality Constants'!$B$3)</f>
        <v>2.521204930193285E-7</v>
      </c>
      <c r="G230">
        <f>F230 / 'Reality Constants'!$B$4</f>
        <v>157361234503.76599</v>
      </c>
      <c r="H230">
        <f>F230 / 'Reality Constants'!$B$5</f>
        <v>7.0033470283146803E-14</v>
      </c>
      <c r="N230">
        <v>6200</v>
      </c>
      <c r="O230" t="s">
        <v>429</v>
      </c>
      <c r="P230">
        <f>N230 / ((1000/C230) * 'Reality Constants'!$B$6)</f>
        <v>1.7392763118565261E-21</v>
      </c>
    </row>
    <row r="231" spans="1:16" x14ac:dyDescent="0.3">
      <c r="A231" t="s">
        <v>305</v>
      </c>
      <c r="B231" t="s">
        <v>309</v>
      </c>
      <c r="C231" s="2">
        <v>169.934774</v>
      </c>
      <c r="D231">
        <v>3.05</v>
      </c>
      <c r="E231">
        <f>C231 * 'Reality Constants'!$B$2</f>
        <v>2.8218333139509062E-24</v>
      </c>
      <c r="F231">
        <f>E231 * ('Reality Constants'!$B$3 * 'Reality Constants'!$B$3)</f>
        <v>2.5361373044454532E-7</v>
      </c>
      <c r="G231">
        <f>F231 / 'Reality Constants'!$B$4</f>
        <v>158293239997.74753</v>
      </c>
      <c r="H231">
        <f>F231 / 'Reality Constants'!$B$5</f>
        <v>7.0448258456818145E-14</v>
      </c>
      <c r="N231">
        <v>1600</v>
      </c>
      <c r="O231" t="s">
        <v>429</v>
      </c>
      <c r="P231">
        <f>N231 / ((1000/C231) * 'Reality Constants'!$B$6)</f>
        <v>4.5150388309531725E-22</v>
      </c>
    </row>
    <row r="232" spans="1:16" x14ac:dyDescent="0.3">
      <c r="A232" t="s">
        <v>295</v>
      </c>
      <c r="B232" t="s">
        <v>310</v>
      </c>
      <c r="C232" s="2">
        <v>169.93547599999999</v>
      </c>
      <c r="D232">
        <v>14.9</v>
      </c>
      <c r="E232">
        <f>C232 * 'Reality Constants'!$B$2</f>
        <v>2.8218449709351701E-24</v>
      </c>
      <c r="F232">
        <f>E232 * ('Reality Constants'!$B$3 * 'Reality Constants'!$B$3)</f>
        <v>2.5361477812204286E-7</v>
      </c>
      <c r="G232">
        <f>F232 / 'Reality Constants'!$B$4</f>
        <v>158293893906.60834</v>
      </c>
      <c r="H232">
        <f>F232 / 'Reality Constants'!$B$5</f>
        <v>7.0448549478345243E-14</v>
      </c>
      <c r="N232">
        <v>95</v>
      </c>
      <c r="O232" t="s">
        <v>416</v>
      </c>
      <c r="P232">
        <f>N232 / ((1000/C232) * 'Reality Constants'!$B$6)</f>
        <v>2.6808153802723348E-23</v>
      </c>
    </row>
    <row r="233" spans="1:16" x14ac:dyDescent="0.3">
      <c r="A233" t="s">
        <v>305</v>
      </c>
      <c r="B233" t="s">
        <v>311</v>
      </c>
      <c r="C233" s="2">
        <v>170.93633800000001</v>
      </c>
      <c r="D233">
        <v>14.3</v>
      </c>
      <c r="E233">
        <f>C233 * 'Reality Constants'!$B$2</f>
        <v>2.8384646754711441E-24</v>
      </c>
      <c r="F233">
        <f>E233 * ('Reality Constants'!$B$3 * 'Reality Constants'!$B$3)</f>
        <v>2.5510848267412108E-7</v>
      </c>
      <c r="G233">
        <f>F233 / 'Reality Constants'!$B$4</f>
        <v>159226190958.24429</v>
      </c>
      <c r="H233">
        <f>F233 / 'Reality Constants'!$B$5</f>
        <v>7.0863467409478083E-14</v>
      </c>
      <c r="N233">
        <v>1600</v>
      </c>
      <c r="O233" t="s">
        <v>429</v>
      </c>
      <c r="P233">
        <f>N233 / ((1000/C233) * 'Reality Constants'!$B$6)</f>
        <v>4.5416496313517106E-22</v>
      </c>
    </row>
    <row r="234" spans="1:16" x14ac:dyDescent="0.3">
      <c r="A234" t="s">
        <v>305</v>
      </c>
      <c r="B234" t="s">
        <v>312</v>
      </c>
      <c r="C234" s="2">
        <v>171.93639300000001</v>
      </c>
      <c r="D234">
        <v>21.9</v>
      </c>
      <c r="E234">
        <f>C234 * 'Reality Constants'!$B$2</f>
        <v>2.8550709794568324E-24</v>
      </c>
      <c r="F234">
        <f>E234 * ('Reality Constants'!$B$3 * 'Reality Constants'!$B$3)</f>
        <v>2.5660098284480263E-7</v>
      </c>
      <c r="G234">
        <f>F234 / 'Reality Constants'!$B$4</f>
        <v>160157736294.13858</v>
      </c>
      <c r="H234">
        <f>F234 / 'Reality Constants'!$B$5</f>
        <v>7.1278050790222957E-14</v>
      </c>
      <c r="N234">
        <v>1600</v>
      </c>
      <c r="O234" t="s">
        <v>429</v>
      </c>
      <c r="P234">
        <f>N234 / ((1000/C234) * 'Reality Constants'!$B$6)</f>
        <v>4.5682203387578894E-22</v>
      </c>
    </row>
    <row r="235" spans="1:16" x14ac:dyDescent="0.3">
      <c r="A235" t="s">
        <v>305</v>
      </c>
      <c r="B235" t="s">
        <v>313</v>
      </c>
      <c r="C235" s="2">
        <v>172.938222</v>
      </c>
      <c r="D235">
        <v>16.12</v>
      </c>
      <c r="E235">
        <f>C235 * 'Reality Constants'!$B$2</f>
        <v>2.8717067414056024E-24</v>
      </c>
      <c r="F235">
        <f>E235 * ('Reality Constants'!$B$3 * 'Reality Constants'!$B$3)</f>
        <v>2.5809613056517162E-7</v>
      </c>
      <c r="G235">
        <f>F235 / 'Reality Constants'!$B$4</f>
        <v>161090934100.57285</v>
      </c>
      <c r="H235">
        <f>F235 / 'Reality Constants'!$B$5</f>
        <v>7.1693369601436567E-14</v>
      </c>
      <c r="N235">
        <v>1600</v>
      </c>
      <c r="O235" t="s">
        <v>429</v>
      </c>
      <c r="P235">
        <f>N235 / ((1000/C235) * 'Reality Constants'!$B$6)</f>
        <v>4.5948381800066426E-22</v>
      </c>
    </row>
    <row r="236" spans="1:16" x14ac:dyDescent="0.3">
      <c r="A236" t="s">
        <v>305</v>
      </c>
      <c r="B236" t="s">
        <v>314</v>
      </c>
      <c r="C236" s="2">
        <v>173.938873</v>
      </c>
      <c r="D236">
        <v>31.8</v>
      </c>
      <c r="E236">
        <f>C236 * 'Reality Constants'!$B$2</f>
        <v>2.8883229422041412E-24</v>
      </c>
      <c r="F236">
        <f>E236 * ('Reality Constants'!$B$3 * 'Reality Constants'!$B$3)</f>
        <v>2.5958952021703336E-7</v>
      </c>
      <c r="G236">
        <f>F236 / 'Reality Constants'!$B$4</f>
        <v>162023034606.95291</v>
      </c>
      <c r="H236">
        <f>F236 / 'Reality Constants'!$B$5</f>
        <v>7.2108200060287051E-14</v>
      </c>
      <c r="N236">
        <v>1600</v>
      </c>
      <c r="O236" t="s">
        <v>429</v>
      </c>
      <c r="P236">
        <f>N236 / ((1000/C236) * 'Reality Constants'!$B$6)</f>
        <v>4.6214247226834939E-22</v>
      </c>
    </row>
    <row r="237" spans="1:16" x14ac:dyDescent="0.3">
      <c r="A237" t="s">
        <v>315</v>
      </c>
      <c r="B237" t="s">
        <v>316</v>
      </c>
      <c r="C237" s="2">
        <v>173.940065</v>
      </c>
      <c r="D237">
        <v>0.16</v>
      </c>
      <c r="E237">
        <f>C237 * 'Reality Constants'!$B$2</f>
        <v>2.888342735829843E-24</v>
      </c>
      <c r="F237">
        <f>E237 * ('Reality Constants'!$B$3 * 'Reality Constants'!$B$3)</f>
        <v>2.5959129917939391E-7</v>
      </c>
      <c r="G237">
        <f>F237 / 'Reality Constants'!$B$4</f>
        <v>162024144947.92456</v>
      </c>
      <c r="H237">
        <f>F237 / 'Reality Constants'!$B$5</f>
        <v>7.2108694216498309E-14</v>
      </c>
      <c r="N237">
        <v>1414</v>
      </c>
      <c r="O237" t="s">
        <v>417</v>
      </c>
      <c r="P237">
        <f>N237 / ((1000/C237) * 'Reality Constants'!$B$6)</f>
        <v>4.0842120875124546E-22</v>
      </c>
    </row>
    <row r="238" spans="1:16" x14ac:dyDescent="0.3">
      <c r="A238" t="s">
        <v>317</v>
      </c>
      <c r="B238" t="s">
        <v>318</v>
      </c>
      <c r="C238" s="2">
        <v>174.94078500000001</v>
      </c>
      <c r="D238">
        <v>97.4</v>
      </c>
      <c r="E238">
        <f>C238 * 'Reality Constants'!$B$2</f>
        <v>2.9049600824003393E-24</v>
      </c>
      <c r="F238">
        <f>E238 * ('Reality Constants'!$B$3 * 'Reality Constants'!$B$3)</f>
        <v>2.610847918081037E-7</v>
      </c>
      <c r="G238">
        <f>F238 / 'Reality Constants'!$B$4</f>
        <v>162956309727.3978</v>
      </c>
      <c r="H238">
        <f>F238 / 'Reality Constants'!$B$5</f>
        <v>7.252355328002881E-14</v>
      </c>
      <c r="N238">
        <v>6269</v>
      </c>
      <c r="O238" t="s">
        <v>429</v>
      </c>
      <c r="P238">
        <f>N238 / ((1000/C238) * 'Reality Constants'!$B$6)</f>
        <v>1.8211620411242114E-21</v>
      </c>
    </row>
    <row r="239" spans="1:16" x14ac:dyDescent="0.3">
      <c r="A239" t="s">
        <v>315</v>
      </c>
      <c r="B239" t="s">
        <v>319</v>
      </c>
      <c r="C239" s="2">
        <v>175.94141999999999</v>
      </c>
      <c r="D239">
        <v>5.2</v>
      </c>
      <c r="E239">
        <f>C239 * 'Reality Constants'!$B$2</f>
        <v>2.9215760175126266E-24</v>
      </c>
      <c r="F239">
        <f>E239 * ('Reality Constants'!$B$3 * 'Reality Constants'!$B$3)</f>
        <v>2.6257815758127604E-7</v>
      </c>
      <c r="G239">
        <f>F239 / 'Reality Constants'!$B$4</f>
        <v>163888395329.87222</v>
      </c>
      <c r="H239">
        <f>F239 / 'Reality Constants'!$B$5</f>
        <v>7.2938377105910015E-14</v>
      </c>
      <c r="N239">
        <v>1414</v>
      </c>
      <c r="O239" t="s">
        <v>417</v>
      </c>
      <c r="P239">
        <f>N239 / ((1000/C239) * 'Reality Constants'!$B$6)</f>
        <v>4.1312050461640652E-22</v>
      </c>
    </row>
    <row r="240" spans="1:16" x14ac:dyDescent="0.3">
      <c r="A240" t="s">
        <v>305</v>
      </c>
      <c r="B240" t="s">
        <v>320</v>
      </c>
      <c r="C240" s="2">
        <v>175.942576</v>
      </c>
      <c r="D240">
        <v>12.7</v>
      </c>
      <c r="E240">
        <f>C240 * 'Reality Constants'!$B$2</f>
        <v>2.9215952133442634E-24</v>
      </c>
      <c r="F240">
        <f>E240 * ('Reality Constants'!$B$3 * 'Reality Constants'!$B$3)</f>
        <v>2.625798828165854E-7</v>
      </c>
      <c r="G240">
        <f>F240 / 'Reality Constants'!$B$4</f>
        <v>163889472137.05612</v>
      </c>
      <c r="H240">
        <f>F240 / 'Reality Constants'!$B$5</f>
        <v>7.2938856337940395E-14</v>
      </c>
      <c r="N240">
        <v>1600</v>
      </c>
      <c r="O240" t="s">
        <v>429</v>
      </c>
      <c r="P240">
        <f>N240 / ((1000/C240) * 'Reality Constants'!$B$6)</f>
        <v>4.6746616007970778E-22</v>
      </c>
    </row>
    <row r="241" spans="1:16" x14ac:dyDescent="0.3">
      <c r="A241" t="s">
        <v>317</v>
      </c>
      <c r="B241" t="s">
        <v>321</v>
      </c>
      <c r="C241" s="2">
        <v>175.94269399999999</v>
      </c>
      <c r="D241">
        <v>2.6</v>
      </c>
      <c r="E241">
        <f>C241 * 'Reality Constants'!$B$2</f>
        <v>2.9215971727803647E-24</v>
      </c>
      <c r="F241">
        <f>E241 * ('Reality Constants'!$B$3 * 'Reality Constants'!$B$3)</f>
        <v>2.6258005892191978E-7</v>
      </c>
      <c r="G241">
        <f>F241 / 'Reality Constants'!$B$4</f>
        <v>163889582053.36038</v>
      </c>
      <c r="H241">
        <f>F241 / 'Reality Constants'!$B$5</f>
        <v>7.2938905256088829E-14</v>
      </c>
      <c r="N241">
        <v>6269</v>
      </c>
      <c r="O241" t="s">
        <v>429</v>
      </c>
      <c r="P241">
        <f>N241 / ((1000/C241) * 'Reality Constants'!$B$6)</f>
        <v>1.8315920768615077E-21</v>
      </c>
    </row>
    <row r="242" spans="1:16" x14ac:dyDescent="0.3">
      <c r="A242" t="s">
        <v>315</v>
      </c>
      <c r="B242" t="s">
        <v>322</v>
      </c>
      <c r="C242" s="2">
        <v>176.94323299999999</v>
      </c>
      <c r="D242">
        <v>18.600000000000001</v>
      </c>
      <c r="E242">
        <f>C242 * 'Reality Constants'!$B$2</f>
        <v>2.9382115137751459E-24</v>
      </c>
      <c r="F242">
        <f>E242 * ('Reality Constants'!$B$3 * 'Reality Constants'!$B$3)</f>
        <v>2.6407328142295568E-7</v>
      </c>
      <c r="G242">
        <f>F242 / 'Reality Constants'!$B$4</f>
        <v>164821578232.40085</v>
      </c>
      <c r="H242">
        <f>F242 / 'Reality Constants'!$B$5</f>
        <v>7.3353689284154359E-14</v>
      </c>
      <c r="N242">
        <v>1414</v>
      </c>
      <c r="O242" t="s">
        <v>417</v>
      </c>
      <c r="P242">
        <f>N242 / ((1000/C242) * 'Reality Constants'!$B$6)</f>
        <v>4.1547281876785125E-22</v>
      </c>
    </row>
    <row r="243" spans="1:16" x14ac:dyDescent="0.3">
      <c r="A243" t="s">
        <v>315</v>
      </c>
      <c r="B243" t="s">
        <v>323</v>
      </c>
      <c r="C243" s="2">
        <v>177.94371000000001</v>
      </c>
      <c r="D243">
        <v>27.1</v>
      </c>
      <c r="E243">
        <f>C243 * 'Reality Constants'!$B$2</f>
        <v>2.9548248252357053E-24</v>
      </c>
      <c r="F243">
        <f>E243 * ('Reality Constants'!$B$3 * 'Reality Constants'!$B$3)</f>
        <v>2.6556641139407019E-7</v>
      </c>
      <c r="G243">
        <f>F243 / 'Reality Constants'!$B$4</f>
        <v>165753516658.80688</v>
      </c>
      <c r="H243">
        <f>F243 / 'Reality Constants'!$B$5</f>
        <v>7.3768447609463945E-14</v>
      </c>
      <c r="N243">
        <v>1414</v>
      </c>
      <c r="O243" t="s">
        <v>417</v>
      </c>
      <c r="P243">
        <f>N243 / ((1000/C243) * 'Reality Constants'!$B$6)</f>
        <v>4.1782199591497846E-22</v>
      </c>
    </row>
    <row r="244" spans="1:16" x14ac:dyDescent="0.3">
      <c r="A244" t="s">
        <v>315</v>
      </c>
      <c r="B244" t="s">
        <v>324</v>
      </c>
      <c r="C244" s="2">
        <v>178.94582700000001</v>
      </c>
      <c r="D244">
        <v>13.74</v>
      </c>
      <c r="E244">
        <f>C244 * 'Reality Constants'!$B$2</f>
        <v>2.9714653695369939E-24</v>
      </c>
      <c r="F244">
        <f>E244 * ('Reality Constants'!$B$3 * 'Reality Constants'!$B$3)</f>
        <v>2.6706198893084847E-7</v>
      </c>
      <c r="G244">
        <f>F244 / 'Reality Constants'!$B$4</f>
        <v>166686982735.54303</v>
      </c>
      <c r="H244">
        <f>F244 / 'Reality Constants'!$B$5</f>
        <v>7.418388581412458E-14</v>
      </c>
      <c r="N244">
        <v>1414</v>
      </c>
      <c r="O244" t="s">
        <v>417</v>
      </c>
      <c r="P244">
        <f>N244 / ((1000/C244) * 'Reality Constants'!$B$6)</f>
        <v>4.2017502387578881E-22</v>
      </c>
    </row>
    <row r="245" spans="1:16" x14ac:dyDescent="0.3">
      <c r="A245" t="s">
        <v>315</v>
      </c>
      <c r="B245" t="s">
        <v>325</v>
      </c>
      <c r="C245" s="2">
        <v>179.946561</v>
      </c>
      <c r="D245">
        <v>35.200000000000003</v>
      </c>
      <c r="E245">
        <f>C245 * 'Reality Constants'!$B$2</f>
        <v>2.98808294858296E-24</v>
      </c>
      <c r="F245">
        <f>E245 * ('Reality Constants'!$B$3 * 'Reality Constants'!$B$3)</f>
        <v>2.685555024534115E-7</v>
      </c>
      <c r="G245">
        <f>F245 / 'Reality Constants'!$B$4</f>
        <v>167619160555.93375</v>
      </c>
      <c r="H245">
        <f>F245 / 'Reality Constants'!$B$5</f>
        <v>7.45987506815032E-14</v>
      </c>
      <c r="N245">
        <v>1414</v>
      </c>
      <c r="O245" t="s">
        <v>417</v>
      </c>
      <c r="P245">
        <f>N245 / ((1000/C245) * 'Reality Constants'!$B$6)</f>
        <v>4.2252480447359692E-22</v>
      </c>
    </row>
    <row r="246" spans="1:16" x14ac:dyDescent="0.3">
      <c r="A246" t="s">
        <v>326</v>
      </c>
      <c r="B246" t="s">
        <v>327</v>
      </c>
      <c r="C246" s="2">
        <v>179.94672700000001</v>
      </c>
      <c r="D246">
        <v>0.13</v>
      </c>
      <c r="E246">
        <f>C246 * 'Reality Constants'!$B$2</f>
        <v>2.9880857050778145E-24</v>
      </c>
      <c r="F246">
        <f>E246 * ('Reality Constants'!$B$3 * 'Reality Constants'!$B$3)</f>
        <v>2.6855575019481409E-7</v>
      </c>
      <c r="G246">
        <f>F246 / 'Reality Constants'!$B$4</f>
        <v>167619315183.95499</v>
      </c>
      <c r="H246">
        <f>F246 / 'Reality Constants'!$B$5</f>
        <v>7.4598819498559471E-14</v>
      </c>
      <c r="N246">
        <v>25.52</v>
      </c>
      <c r="O246" t="s">
        <v>413</v>
      </c>
      <c r="P246">
        <f>N246 / ((1000/C246) * 'Reality Constants'!$B$6)</f>
        <v>7.625772954234475E-24</v>
      </c>
    </row>
    <row r="247" spans="1:16" x14ac:dyDescent="0.3">
      <c r="A247" t="s">
        <v>328</v>
      </c>
      <c r="B247" t="s">
        <v>329</v>
      </c>
      <c r="C247" s="2">
        <v>179.94748899999999</v>
      </c>
      <c r="D247">
        <v>1.2E-2</v>
      </c>
      <c r="E247">
        <f>C247 * 'Reality Constants'!$B$2</f>
        <v>2.9880983583855192E-24</v>
      </c>
      <c r="F247">
        <f>E247 * ('Reality Constants'!$B$3 * 'Reality Constants'!$B$3)</f>
        <v>2.6855688741739687E-7</v>
      </c>
      <c r="G247">
        <f>F247 / 'Reality Constants'!$B$4</f>
        <v>167620024982.46198</v>
      </c>
      <c r="H247">
        <f>F247 / 'Reality Constants'!$B$5</f>
        <v>7.4599135393721352E-14</v>
      </c>
      <c r="N247">
        <v>238</v>
      </c>
      <c r="O247" t="s">
        <v>419</v>
      </c>
      <c r="P247">
        <f>N247 / ((1000/C247) * 'Reality Constants'!$B$6)</f>
        <v>7.1118403158419144E-23</v>
      </c>
    </row>
    <row r="248" spans="1:16" x14ac:dyDescent="0.3">
      <c r="A248" t="s">
        <v>328</v>
      </c>
      <c r="B248" t="s">
        <v>330</v>
      </c>
      <c r="C248" s="2">
        <v>180.948014</v>
      </c>
      <c r="D248">
        <v>99.99</v>
      </c>
      <c r="E248">
        <f>C248 * 'Reality Constants'!$B$2</f>
        <v>3.0047124669048314E-24</v>
      </c>
      <c r="F248">
        <f>E248 * ('Reality Constants'!$B$3 * 'Reality Constants'!$B$3)</f>
        <v>2.7005008902457959E-7</v>
      </c>
      <c r="G248">
        <f>F248 / 'Reality Constants'!$B$4</f>
        <v>168552008120.58502</v>
      </c>
      <c r="H248">
        <f>F248 / 'Reality Constants'!$B$5</f>
        <v>7.5013913617938775E-14</v>
      </c>
      <c r="N248">
        <v>238</v>
      </c>
      <c r="O248" t="s">
        <v>419</v>
      </c>
      <c r="P248">
        <f>N248 / ((1000/C248) * 'Reality Constants'!$B$6)</f>
        <v>7.151382818332781E-23</v>
      </c>
    </row>
    <row r="249" spans="1:16" x14ac:dyDescent="0.3">
      <c r="A249" t="s">
        <v>326</v>
      </c>
      <c r="B249" t="s">
        <v>331</v>
      </c>
      <c r="C249" s="2">
        <v>181.94822500000001</v>
      </c>
      <c r="D249">
        <v>26.3</v>
      </c>
      <c r="E249">
        <f>C249 * 'Reality Constants'!$B$2</f>
        <v>3.0213213613314668E-24</v>
      </c>
      <c r="F249">
        <f>E249 * ('Reality Constants'!$B$3 * 'Reality Constants'!$B$3)</f>
        <v>2.7154282201248275E-7</v>
      </c>
      <c r="G249">
        <f>F249 / 'Reality Constants'!$B$4</f>
        <v>169483698769.55948</v>
      </c>
      <c r="H249">
        <f>F249 / 'Reality Constants'!$B$5</f>
        <v>7.5428561670134096E-14</v>
      </c>
      <c r="N249">
        <v>25.52</v>
      </c>
      <c r="O249" t="s">
        <v>413</v>
      </c>
      <c r="P249">
        <f>N249 / ((1000/C249) * 'Reality Constants'!$B$6)</f>
        <v>7.7105923314513452E-24</v>
      </c>
    </row>
    <row r="250" spans="1:16" x14ac:dyDescent="0.3">
      <c r="A250" t="s">
        <v>326</v>
      </c>
      <c r="B250" t="s">
        <v>332</v>
      </c>
      <c r="C250" s="2">
        <v>182.950245</v>
      </c>
      <c r="D250">
        <v>14.3</v>
      </c>
      <c r="E250">
        <f>C250 * 'Reality Constants'!$B$2</f>
        <v>3.0379602949098588E-24</v>
      </c>
      <c r="F250">
        <f>E250 * ('Reality Constants'!$B$3 * 'Reality Constants'!$B$3)</f>
        <v>2.7303825478470655E-7</v>
      </c>
      <c r="G250">
        <f>F250 / 'Reality Constants'!$B$4</f>
        <v>170417074491.36755</v>
      </c>
      <c r="H250">
        <f>F250 / 'Reality Constants'!$B$5</f>
        <v>7.5843959662418489E-14</v>
      </c>
      <c r="N250">
        <v>25.52</v>
      </c>
      <c r="O250" t="s">
        <v>413</v>
      </c>
      <c r="P250">
        <f>N250 / ((1000/C250) * 'Reality Constants'!$B$6)</f>
        <v>7.7530558824310856E-24</v>
      </c>
    </row>
    <row r="251" spans="1:16" x14ac:dyDescent="0.3">
      <c r="A251" t="s">
        <v>326</v>
      </c>
      <c r="B251" t="s">
        <v>333</v>
      </c>
      <c r="C251" s="2">
        <v>183.950953</v>
      </c>
      <c r="D251">
        <v>30.67</v>
      </c>
      <c r="E251">
        <f>C251 * 'Reality Constants'!$B$2</f>
        <v>3.0545774422156668E-24</v>
      </c>
      <c r="F251">
        <f>E251 * ('Reality Constants'!$B$3 * 'Reality Constants'!$B$3)</f>
        <v>2.7453172950439926E-7</v>
      </c>
      <c r="G251">
        <f>F251 / 'Reality Constants'!$B$4</f>
        <v>171349228092.91153</v>
      </c>
      <c r="H251">
        <f>F251 / 'Reality Constants'!$B$5</f>
        <v>7.6258813751222017E-14</v>
      </c>
      <c r="N251">
        <v>25.52</v>
      </c>
      <c r="O251" t="s">
        <v>413</v>
      </c>
      <c r="P251">
        <f>N251 / ((1000/C251) * 'Reality Constants'!$B$6)</f>
        <v>7.7954638335436724E-24</v>
      </c>
    </row>
    <row r="252" spans="1:16" x14ac:dyDescent="0.3">
      <c r="A252" t="s">
        <v>334</v>
      </c>
      <c r="B252" t="s">
        <v>335</v>
      </c>
      <c r="C252" s="2">
        <v>183.95251400000001</v>
      </c>
      <c r="D252">
        <v>0.02</v>
      </c>
      <c r="E252">
        <f>C252 * 'Reality Constants'!$B$2</f>
        <v>3.0546033632305329E-24</v>
      </c>
      <c r="F252">
        <f>E252 * ('Reality Constants'!$B$3 * 'Reality Constants'!$B$3)</f>
        <v>2.7453405916903418E-7</v>
      </c>
      <c r="G252">
        <f>F252 / 'Reality Constants'!$B$4</f>
        <v>171350682155.20746</v>
      </c>
      <c r="H252">
        <f>F252 / 'Reality Constants'!$B$5</f>
        <v>7.6259460880287275E-14</v>
      </c>
      <c r="N252">
        <v>15000</v>
      </c>
      <c r="O252" t="s">
        <v>430</v>
      </c>
      <c r="P252">
        <f>N252 / ((1000/C252) * 'Reality Constants'!$B$6)</f>
        <v>4.5820121388243113E-21</v>
      </c>
    </row>
    <row r="253" spans="1:16" x14ac:dyDescent="0.3">
      <c r="A253" t="s">
        <v>336</v>
      </c>
      <c r="B253" t="s">
        <v>337</v>
      </c>
      <c r="C253" s="2">
        <v>184.952977</v>
      </c>
      <c r="D253">
        <v>37.4</v>
      </c>
      <c r="E253">
        <f>C253 * 'Reality Constants'!$B$2</f>
        <v>3.0712164422156217E-24</v>
      </c>
      <c r="F253">
        <f>E253 * ('Reality Constants'!$B$3 * 'Reality Constants'!$B$3)</f>
        <v>2.7602716824629538E-7</v>
      </c>
      <c r="G253">
        <f>F253 / 'Reality Constants'!$B$4</f>
        <v>172282607540.69601</v>
      </c>
      <c r="H253">
        <f>F253 / 'Reality Constants'!$B$5</f>
        <v>7.6674213401748717E-14</v>
      </c>
      <c r="N253">
        <v>5000</v>
      </c>
      <c r="O253" t="s">
        <v>431</v>
      </c>
      <c r="P253">
        <f>N253 / ((1000/C253) * 'Reality Constants'!$B$6)</f>
        <v>1.5356441132514116E-21</v>
      </c>
    </row>
    <row r="254" spans="1:16" x14ac:dyDescent="0.3">
      <c r="A254" t="s">
        <v>334</v>
      </c>
      <c r="B254" t="s">
        <v>338</v>
      </c>
      <c r="C254" s="2">
        <v>185.95385200000001</v>
      </c>
      <c r="D254">
        <v>1.58</v>
      </c>
      <c r="E254">
        <f>C254 * 'Reality Constants'!$B$2</f>
        <v>3.0878363626216748E-24</v>
      </c>
      <c r="F254">
        <f>E254 * ('Reality Constants'!$B$3 * 'Reality Constants'!$B$3)</f>
        <v>2.7752089219980879E-7</v>
      </c>
      <c r="G254">
        <f>F254 / 'Reality Constants'!$B$4</f>
        <v>173214916701.75534</v>
      </c>
      <c r="H254">
        <f>F254 / 'Reality Constants'!$B$5</f>
        <v>7.7089136722169109E-14</v>
      </c>
      <c r="N254">
        <v>15000</v>
      </c>
      <c r="O254" t="s">
        <v>430</v>
      </c>
      <c r="P254">
        <f>N254 / ((1000/C254) * 'Reality Constants'!$B$6)</f>
        <v>4.6318628030554641E-21</v>
      </c>
    </row>
    <row r="255" spans="1:16" x14ac:dyDescent="0.3">
      <c r="A255" t="s">
        <v>326</v>
      </c>
      <c r="B255" t="s">
        <v>339</v>
      </c>
      <c r="C255" s="2">
        <v>185.95437699999999</v>
      </c>
      <c r="D255">
        <v>28.6</v>
      </c>
      <c r="E255">
        <f>C255 * 'Reality Constants'!$B$2</f>
        <v>3.0878450804517867E-24</v>
      </c>
      <c r="F255">
        <f>E255 * ('Reality Constants'!$B$3 * 'Reality Constants'!$B$3)</f>
        <v>2.7752167571930483E-7</v>
      </c>
      <c r="G255">
        <f>F255 / 'Reality Constants'!$B$4</f>
        <v>173215405736.15979</v>
      </c>
      <c r="H255">
        <f>F255 / 'Reality Constants'!$B$5</f>
        <v>7.7089354366473568E-14</v>
      </c>
      <c r="N255">
        <v>25.52</v>
      </c>
      <c r="O255" t="s">
        <v>413</v>
      </c>
      <c r="P255">
        <f>N255 / ((1000/C255) * 'Reality Constants'!$B$6)</f>
        <v>7.8803648306874795E-24</v>
      </c>
    </row>
    <row r="256" spans="1:16" x14ac:dyDescent="0.3">
      <c r="A256" t="s">
        <v>334</v>
      </c>
      <c r="B256" t="s">
        <v>340</v>
      </c>
      <c r="C256" s="2">
        <v>186.95576199999999</v>
      </c>
      <c r="D256">
        <v>1.6</v>
      </c>
      <c r="E256">
        <f>C256 * 'Reality Constants'!$B$2</f>
        <v>3.1044734696070912E-24</v>
      </c>
      <c r="F256">
        <f>E256 * ('Reality Constants'!$B$3 * 'Reality Constants'!$B$3)</f>
        <v>2.7901616080604297E-7</v>
      </c>
      <c r="G256">
        <f>F256 / 'Reality Constants'!$B$4</f>
        <v>174148189959.21204</v>
      </c>
      <c r="H256">
        <f>F256 / 'Reality Constants'!$B$5</f>
        <v>7.750448911278972E-14</v>
      </c>
      <c r="N256">
        <v>15000</v>
      </c>
      <c r="O256" t="s">
        <v>430</v>
      </c>
      <c r="P256">
        <f>N256 / ((1000/C256) * 'Reality Constants'!$B$6)</f>
        <v>4.6568190468282966E-21</v>
      </c>
    </row>
    <row r="257" spans="1:16" x14ac:dyDescent="0.3">
      <c r="A257" t="s">
        <v>336</v>
      </c>
      <c r="B257" t="s">
        <v>341</v>
      </c>
      <c r="C257" s="2">
        <v>186.95576500000001</v>
      </c>
      <c r="D257">
        <v>62.6</v>
      </c>
      <c r="E257">
        <f>C257 * 'Reality Constants'!$B$2</f>
        <v>3.1044735194232635E-24</v>
      </c>
      <c r="F257">
        <f>E257 * ('Reality Constants'!$B$3 * 'Reality Constants'!$B$3)</f>
        <v>2.7901616528329724E-7</v>
      </c>
      <c r="G257">
        <f>F257 / 'Reality Constants'!$B$4</f>
        <v>174148192753.69437</v>
      </c>
      <c r="H257">
        <f>F257 / 'Reality Constants'!$B$5</f>
        <v>7.750449035647146E-14</v>
      </c>
      <c r="N257">
        <v>5000</v>
      </c>
      <c r="O257" t="s">
        <v>431</v>
      </c>
      <c r="P257">
        <f>N257 / ((1000/C257) * 'Reality Constants'!$B$6)</f>
        <v>1.5522730405181007E-21</v>
      </c>
    </row>
    <row r="258" spans="1:16" x14ac:dyDescent="0.3">
      <c r="A258" t="s">
        <v>334</v>
      </c>
      <c r="B258" t="s">
        <v>342</v>
      </c>
      <c r="C258" s="2">
        <v>187.95585</v>
      </c>
      <c r="D258">
        <v>13.3</v>
      </c>
      <c r="E258">
        <f>C258 * 'Reality Constants'!$B$2</f>
        <v>3.1210803215706719E-24</v>
      </c>
      <c r="F258">
        <f>E258 * ('Reality Constants'!$B$3 * 'Reality Constants'!$B$3)</f>
        <v>2.8050871022652133E-7</v>
      </c>
      <c r="G258">
        <f>F258 / 'Reality Constants'!$B$4</f>
        <v>175079766034.41171</v>
      </c>
      <c r="H258">
        <f>F258 / 'Reality Constants'!$B$5</f>
        <v>7.7919086174033707E-14</v>
      </c>
      <c r="N258">
        <v>15000</v>
      </c>
      <c r="O258" t="s">
        <v>430</v>
      </c>
      <c r="P258">
        <f>N258 / ((1000/C258) * 'Reality Constants'!$B$6)</f>
        <v>4.6817299070076386E-21</v>
      </c>
    </row>
    <row r="259" spans="1:16" x14ac:dyDescent="0.3">
      <c r="A259" t="s">
        <v>334</v>
      </c>
      <c r="B259" t="s">
        <v>343</v>
      </c>
      <c r="C259" s="2">
        <v>188.958156</v>
      </c>
      <c r="D259">
        <v>16.100000000000001</v>
      </c>
      <c r="E259">
        <f>C259 * 'Reality Constants'!$B$2</f>
        <v>3.1377240042908013E-24</v>
      </c>
      <c r="F259">
        <f>E259 * ('Reality Constants'!$B$3 * 'Reality Constants'!$B$3)</f>
        <v>2.820045698303182E-7</v>
      </c>
      <c r="G259">
        <f>F259 / 'Reality Constants'!$B$4</f>
        <v>176013408163.53348</v>
      </c>
      <c r="H259">
        <f>F259 / 'Reality Constants'!$B$5</f>
        <v>7.833460273064394E-14</v>
      </c>
      <c r="N259">
        <v>15000</v>
      </c>
      <c r="O259" t="s">
        <v>430</v>
      </c>
      <c r="P259">
        <f>N259 / ((1000/C259) * 'Reality Constants'!$B$6)</f>
        <v>4.7066960146130857E-21</v>
      </c>
    </row>
    <row r="260" spans="1:16" x14ac:dyDescent="0.3">
      <c r="A260" t="s">
        <v>334</v>
      </c>
      <c r="B260" t="s">
        <v>344</v>
      </c>
      <c r="C260" s="2">
        <v>189.95845499999999</v>
      </c>
      <c r="D260">
        <v>26.4</v>
      </c>
      <c r="E260">
        <f>C260 * 'Reality Constants'!$B$2</f>
        <v>3.1543343599918168E-24</v>
      </c>
      <c r="F260">
        <f>E260 * ('Reality Constants'!$B$3 * 'Reality Constants'!$B$3)</f>
        <v>2.8349743415101303E-7</v>
      </c>
      <c r="G260">
        <f>F260 / 'Reality Constants'!$B$4</f>
        <v>176945180783.98901</v>
      </c>
      <c r="H260">
        <f>F260 / 'Reality Constants'!$B$5</f>
        <v>7.8749287264170283E-14</v>
      </c>
      <c r="N260">
        <v>15000</v>
      </c>
      <c r="O260" t="s">
        <v>430</v>
      </c>
      <c r="P260">
        <f>N260 / ((1000/C260) * 'Reality Constants'!$B$6)</f>
        <v>4.7316121305214208E-21</v>
      </c>
    </row>
    <row r="261" spans="1:16" x14ac:dyDescent="0.3">
      <c r="A261" t="s">
        <v>345</v>
      </c>
      <c r="B261" t="s">
        <v>346</v>
      </c>
      <c r="C261" s="2">
        <v>189.959937</v>
      </c>
      <c r="D261">
        <v>0.01</v>
      </c>
      <c r="E261">
        <f>C261 * 'Reality Constants'!$B$2</f>
        <v>3.1543589691808185E-24</v>
      </c>
      <c r="F261">
        <f>E261 * ('Reality Constants'!$B$3 * 'Reality Constants'!$B$3)</f>
        <v>2.8349964591461903E-7</v>
      </c>
      <c r="G261">
        <f>F261 / 'Reality Constants'!$B$4</f>
        <v>176946561258.25076</v>
      </c>
      <c r="H261">
        <f>F261 / 'Reality Constants'!$B$5</f>
        <v>7.8749901642949725E-14</v>
      </c>
      <c r="N261">
        <v>50000</v>
      </c>
      <c r="O261" t="s">
        <v>408</v>
      </c>
      <c r="P261">
        <f>N261 / ((1000/C261) * 'Reality Constants'!$B$6)</f>
        <v>1.5772163483892395E-20</v>
      </c>
    </row>
    <row r="262" spans="1:16" x14ac:dyDescent="0.3">
      <c r="A262" t="s">
        <v>347</v>
      </c>
      <c r="B262" t="s">
        <v>348</v>
      </c>
      <c r="C262" s="2">
        <v>190.96060299999999</v>
      </c>
      <c r="D262">
        <v>37.299999999999997</v>
      </c>
      <c r="E262">
        <f>C262 * 'Reality Constants'!$B$2</f>
        <v>3.1709754190602174E-24</v>
      </c>
      <c r="F262">
        <f>E262 * ('Reality Constants'!$B$3 * 'Reality Constants'!$B$3)</f>
        <v>2.8499305795275207E-7</v>
      </c>
      <c r="G262">
        <f>F262 / 'Reality Constants'!$B$4</f>
        <v>177878675737.04239</v>
      </c>
      <c r="H262">
        <f>F262 / 'Reality Constants'!$B$5</f>
        <v>7.9164738320208909E-14</v>
      </c>
      <c r="N262">
        <v>4100</v>
      </c>
      <c r="O262" t="s">
        <v>420</v>
      </c>
      <c r="P262">
        <f>N262 / ((1000/C262) * 'Reality Constants'!$B$6)</f>
        <v>1.3001303093656593E-21</v>
      </c>
    </row>
    <row r="263" spans="1:16" x14ac:dyDescent="0.3">
      <c r="A263" t="s">
        <v>345</v>
      </c>
      <c r="B263" t="s">
        <v>349</v>
      </c>
      <c r="C263" s="2">
        <v>191.961049</v>
      </c>
      <c r="D263">
        <v>0.79</v>
      </c>
      <c r="E263">
        <f>C263 * 'Reality Constants'!$B$2</f>
        <v>3.1875882157536652E-24</v>
      </c>
      <c r="F263">
        <f>E263 * ('Reality Constants'!$B$3 * 'Reality Constants'!$B$3)</f>
        <v>2.8648614165890587E-7</v>
      </c>
      <c r="G263">
        <f>F263 / 'Reality Constants'!$B$4</f>
        <v>178810585287.13123</v>
      </c>
      <c r="H263">
        <f>F263 / 'Reality Constants'!$B$5</f>
        <v>7.9579483794140516E-14</v>
      </c>
      <c r="N263">
        <v>37000</v>
      </c>
      <c r="O263" t="s">
        <v>432</v>
      </c>
      <c r="P263">
        <f>N263 / ((1000/C263) * 'Reality Constants'!$B$6)</f>
        <v>1.1794352064098308E-20</v>
      </c>
    </row>
    <row r="264" spans="1:16" x14ac:dyDescent="0.3">
      <c r="A264" t="s">
        <v>334</v>
      </c>
      <c r="B264" t="s">
        <v>350</v>
      </c>
      <c r="C264" s="2">
        <v>191.96148700000001</v>
      </c>
      <c r="D264">
        <v>41</v>
      </c>
      <c r="E264">
        <f>C264 * 'Reality Constants'!$B$2</f>
        <v>3.1875954889147869E-24</v>
      </c>
      <c r="F264">
        <f>E264 * ('Reality Constants'!$B$3 * 'Reality Constants'!$B$3)</f>
        <v>2.8648679533802828E-7</v>
      </c>
      <c r="G264">
        <f>F264 / 'Reality Constants'!$B$4</f>
        <v>178810993281.54868</v>
      </c>
      <c r="H264">
        <f>F264 / 'Reality Constants'!$B$5</f>
        <v>7.957966537167452E-14</v>
      </c>
      <c r="N264">
        <v>15000</v>
      </c>
      <c r="O264" t="s">
        <v>430</v>
      </c>
      <c r="P264">
        <f>N264 / ((1000/C264) * 'Reality Constants'!$B$6)</f>
        <v>4.7815049900365331E-21</v>
      </c>
    </row>
    <row r="265" spans="1:16" x14ac:dyDescent="0.3">
      <c r="A265" t="s">
        <v>347</v>
      </c>
      <c r="B265" t="s">
        <v>351</v>
      </c>
      <c r="C265" s="2">
        <v>192.962942</v>
      </c>
      <c r="D265">
        <v>62.7</v>
      </c>
      <c r="E265">
        <f>C265 * 'Reality Constants'!$B$2</f>
        <v>3.2042250404474395E-24</v>
      </c>
      <c r="F265">
        <f>E265 * ('Reality Constants'!$B$3 * 'Reality Constants'!$B$3)</f>
        <v>2.8798138489403254E-7</v>
      </c>
      <c r="G265">
        <f>F265 / 'Reality Constants'!$B$4</f>
        <v>179743842709.18814</v>
      </c>
      <c r="H265">
        <f>F265 / 'Reality Constants'!$B$5</f>
        <v>7.9994829137231256E-14</v>
      </c>
      <c r="N265">
        <v>4100</v>
      </c>
      <c r="O265" t="s">
        <v>420</v>
      </c>
      <c r="P265">
        <f>N265 / ((1000/C265) * 'Reality Constants'!$B$6)</f>
        <v>1.3137629727665227E-21</v>
      </c>
    </row>
    <row r="266" spans="1:16" x14ac:dyDescent="0.3">
      <c r="A266" t="s">
        <v>345</v>
      </c>
      <c r="B266" t="s">
        <v>352</v>
      </c>
      <c r="C266" s="2">
        <v>193.96267900000001</v>
      </c>
      <c r="D266">
        <v>32.9</v>
      </c>
      <c r="E266">
        <f>C266 * 'Reality Constants'!$B$2</f>
        <v>3.2208260639188886E-24</v>
      </c>
      <c r="F266">
        <f>E266 * ('Reality Constants'!$B$3 * 'Reality Constants'!$B$3)</f>
        <v>2.8947341047576215E-7</v>
      </c>
      <c r="G266">
        <f>F266 / 'Reality Constants'!$B$4</f>
        <v>180675091829.95746</v>
      </c>
      <c r="H266">
        <f>F266 / 'Reality Constants'!$B$5</f>
        <v>8.0409280687711707E-14</v>
      </c>
      <c r="N266">
        <v>37000</v>
      </c>
      <c r="O266" t="s">
        <v>432</v>
      </c>
      <c r="P266">
        <f>N266 / ((1000/C266) * 'Reality Constants'!$B$6)</f>
        <v>1.1917334976751913E-20</v>
      </c>
    </row>
    <row r="267" spans="1:16" x14ac:dyDescent="0.3">
      <c r="A267" t="s">
        <v>345</v>
      </c>
      <c r="B267" t="s">
        <v>353</v>
      </c>
      <c r="C267" s="2">
        <v>194.96478500000001</v>
      </c>
      <c r="D267">
        <v>33.799999999999997</v>
      </c>
      <c r="E267">
        <f>C267 * 'Reality Constants'!$B$2</f>
        <v>3.2374664255608801E-24</v>
      </c>
      <c r="F267">
        <f>E267 * ('Reality Constants'!$B$3 * 'Reality Constants'!$B$3)</f>
        <v>2.9096897159594146E-7</v>
      </c>
      <c r="G267">
        <f>F267 / 'Reality Constants'!$B$4</f>
        <v>181608547660.25842</v>
      </c>
      <c r="H267">
        <f>F267 / 'Reality Constants'!$B$5</f>
        <v>8.0824714332205963E-14</v>
      </c>
      <c r="N267">
        <v>37000</v>
      </c>
      <c r="O267" t="s">
        <v>432</v>
      </c>
      <c r="P267">
        <f>N267 / ((1000/C267) * 'Reality Constants'!$B$6)</f>
        <v>1.1978905753902359E-20</v>
      </c>
    </row>
    <row r="268" spans="1:16" x14ac:dyDescent="0.3">
      <c r="A268" t="s">
        <v>345</v>
      </c>
      <c r="B268" t="s">
        <v>354</v>
      </c>
      <c r="C268" s="2">
        <v>195.964947</v>
      </c>
      <c r="D268">
        <v>25.3</v>
      </c>
      <c r="E268">
        <f>C268 * 'Reality Constants'!$B$2</f>
        <v>3.2540745063233713E-24</v>
      </c>
      <c r="F268">
        <f>E268 * ('Reality Constants'!$B$3 * 'Reality Constants'!$B$3)</f>
        <v>2.924616314553583E-7</v>
      </c>
      <c r="G268">
        <f>F268 / 'Reality Constants'!$B$4</f>
        <v>182540192666.02179</v>
      </c>
      <c r="H268">
        <f>F268 / 'Reality Constants'!$B$5</f>
        <v>8.1239342070932866E-14</v>
      </c>
      <c r="N268">
        <v>37000</v>
      </c>
      <c r="O268" t="s">
        <v>432</v>
      </c>
      <c r="P268">
        <f>N268 / ((1000/C268) * 'Reality Constants'!$B$6)</f>
        <v>1.2040357089006974E-20</v>
      </c>
    </row>
    <row r="269" spans="1:16" x14ac:dyDescent="0.3">
      <c r="A269" t="s">
        <v>355</v>
      </c>
      <c r="B269" t="s">
        <v>356</v>
      </c>
      <c r="C269" s="2">
        <v>195.965812</v>
      </c>
      <c r="D269">
        <v>0.15</v>
      </c>
      <c r="E269">
        <f>C269 * 'Reality Constants'!$B$2</f>
        <v>3.2540888699863175E-24</v>
      </c>
      <c r="F269">
        <f>E269 * ('Reality Constants'!$B$3 * 'Reality Constants'!$B$3)</f>
        <v>2.9246292239700416E-7</v>
      </c>
      <c r="G269">
        <f>F269 / 'Reality Constants'!$B$4</f>
        <v>182540998408.42151</v>
      </c>
      <c r="H269">
        <f>F269 / 'Reality Constants'!$B$5</f>
        <v>8.1239700665834481E-14</v>
      </c>
      <c r="N269">
        <v>250</v>
      </c>
      <c r="O269" t="s">
        <v>421</v>
      </c>
      <c r="P269">
        <f>N269 / ((1000/C269) * 'Reality Constants'!$B$6)</f>
        <v>8.1354123214878795E-23</v>
      </c>
    </row>
    <row r="270" spans="1:16" x14ac:dyDescent="0.3">
      <c r="A270" t="s">
        <v>357</v>
      </c>
      <c r="B270" t="s">
        <v>358</v>
      </c>
      <c r="C270" s="2">
        <v>196.96655999999999</v>
      </c>
      <c r="D270">
        <v>100</v>
      </c>
      <c r="E270">
        <f>C270 * 'Reality Constants'!$B$2</f>
        <v>3.2707066815077531E-24</v>
      </c>
      <c r="F270">
        <f>E270 * ('Reality Constants'!$B$3 * 'Reality Constants'!$B$3)</f>
        <v>2.9395645681342043E-7</v>
      </c>
      <c r="G270">
        <f>F270 / 'Reality Constants'!$B$4</f>
        <v>183473189269.72968</v>
      </c>
      <c r="H270">
        <f>F270 / 'Reality Constants'!$B$5</f>
        <v>8.1654571337061233E-14</v>
      </c>
      <c r="N270">
        <v>63000</v>
      </c>
      <c r="O270" t="s">
        <v>432</v>
      </c>
      <c r="P270">
        <f>N270 / ((1000/C270) * 'Reality Constants'!$B$6)</f>
        <v>2.0605933709730987E-20</v>
      </c>
    </row>
    <row r="271" spans="1:16" x14ac:dyDescent="0.3">
      <c r="A271" t="s">
        <v>355</v>
      </c>
      <c r="B271" t="s">
        <v>359</v>
      </c>
      <c r="C271" s="2">
        <v>197.96675999999999</v>
      </c>
      <c r="D271">
        <v>10.1</v>
      </c>
      <c r="E271">
        <f>C271 * 'Reality Constants'!$B$2</f>
        <v>3.287315393275091E-24</v>
      </c>
      <c r="F271">
        <f>E271 * ('Reality Constants'!$B$3 * 'Reality Constants'!$B$3)</f>
        <v>2.9544917338472462E-7</v>
      </c>
      <c r="G271">
        <f>F271 / 'Reality Constants'!$B$4</f>
        <v>184404869672.26898</v>
      </c>
      <c r="H271">
        <f>F271 / 'Reality Constants'!$B$5</f>
        <v>8.2069214829090174E-14</v>
      </c>
      <c r="N271">
        <v>250</v>
      </c>
      <c r="O271" t="s">
        <v>421</v>
      </c>
      <c r="P271">
        <f>N271 / ((1000/C271) * 'Reality Constants'!$B$6)</f>
        <v>8.2184805712387915E-23</v>
      </c>
    </row>
    <row r="272" spans="1:16" x14ac:dyDescent="0.3">
      <c r="A272" t="s">
        <v>345</v>
      </c>
      <c r="B272" t="s">
        <v>360</v>
      </c>
      <c r="C272" s="2">
        <v>197.96787900000001</v>
      </c>
      <c r="D272">
        <v>7.2</v>
      </c>
      <c r="E272">
        <f>C272 * 'Reality Constants'!$B$2</f>
        <v>3.2873339747072724E-24</v>
      </c>
      <c r="F272">
        <f>E272 * ('Reality Constants'!$B$3 * 'Reality Constants'!$B$3)</f>
        <v>2.9545084340056474E-7</v>
      </c>
      <c r="G272">
        <f>F272 / 'Reality Constants'!$B$4</f>
        <v>184405912014.17105</v>
      </c>
      <c r="H272">
        <f>F272 / 'Reality Constants'!$B$5</f>
        <v>8.2069678722379096E-14</v>
      </c>
      <c r="N272">
        <v>37000</v>
      </c>
      <c r="O272" t="s">
        <v>432</v>
      </c>
      <c r="P272">
        <f>N272 / ((1000/C272) * 'Reality Constants'!$B$6)</f>
        <v>1.2163419998339423E-20</v>
      </c>
    </row>
    <row r="273" spans="1:16" x14ac:dyDescent="0.3">
      <c r="A273" t="s">
        <v>355</v>
      </c>
      <c r="B273" t="s">
        <v>361</v>
      </c>
      <c r="C273" s="2">
        <v>198.96826899999999</v>
      </c>
      <c r="D273">
        <v>17</v>
      </c>
      <c r="E273">
        <f>C273 * 'Reality Constants'!$B$2</f>
        <v>3.3039458414988409E-24</v>
      </c>
      <c r="F273">
        <f>E273 * ('Reality Constants'!$B$3 * 'Reality Constants'!$B$3)</f>
        <v>2.9694384353130557E-7</v>
      </c>
      <c r="G273">
        <f>F273 / 'Reality Constants'!$B$4</f>
        <v>185337769400.59003</v>
      </c>
      <c r="H273">
        <f>F273 / 'Reality Constants'!$B$5</f>
        <v>8.2484400980918214E-14</v>
      </c>
      <c r="N273">
        <v>250</v>
      </c>
      <c r="O273" t="s">
        <v>421</v>
      </c>
      <c r="P273">
        <f>N273 / ((1000/C273) * 'Reality Constants'!$B$6)</f>
        <v>8.2600576635669201E-23</v>
      </c>
    </row>
    <row r="274" spans="1:16" x14ac:dyDescent="0.3">
      <c r="A274" t="s">
        <v>355</v>
      </c>
      <c r="B274" t="s">
        <v>362</v>
      </c>
      <c r="C274" s="2">
        <v>199.96831599999999</v>
      </c>
      <c r="D274">
        <v>23.1</v>
      </c>
      <c r="E274">
        <f>C274 * 'Reality Constants'!$B$2</f>
        <v>3.3205520126414035E-24</v>
      </c>
      <c r="F274">
        <f>E274 * ('Reality Constants'!$B$3 * 'Reality Constants'!$B$3)</f>
        <v>2.9843633176264242E-7</v>
      </c>
      <c r="G274">
        <f>F274 / 'Reality Constants'!$B$4</f>
        <v>186269307284.53152</v>
      </c>
      <c r="H274">
        <f>F274 / 'Reality Constants'!$B$5</f>
        <v>8.2898981045178448E-14</v>
      </c>
      <c r="N274">
        <v>250</v>
      </c>
      <c r="O274" t="s">
        <v>421</v>
      </c>
      <c r="P274">
        <f>N274 / ((1000/C274) * 'Reality Constants'!$B$6)</f>
        <v>8.3015740617734965E-23</v>
      </c>
    </row>
    <row r="275" spans="1:16" x14ac:dyDescent="0.3">
      <c r="A275" t="s">
        <v>355</v>
      </c>
      <c r="B275" t="s">
        <v>363</v>
      </c>
      <c r="C275" s="2">
        <v>200.970293</v>
      </c>
      <c r="D275">
        <v>13.2</v>
      </c>
      <c r="E275">
        <f>C275 * 'Reality Constants'!$B$2</f>
        <v>3.3371902321879961E-24</v>
      </c>
      <c r="F275">
        <f>E275 * ('Reality Constants'!$B$3 * 'Reality Constants'!$B$3)</f>
        <v>2.9993170036088843E-7</v>
      </c>
      <c r="G275">
        <f>F275 / 'Reality Constants'!$B$4</f>
        <v>187202642952.09314</v>
      </c>
      <c r="H275">
        <f>F275 / 'Reality Constants'!$B$5</f>
        <v>8.3314361211357904E-14</v>
      </c>
      <c r="N275">
        <v>250</v>
      </c>
      <c r="O275" t="s">
        <v>421</v>
      </c>
      <c r="P275">
        <f>N275 / ((1000/C275) * 'Reality Constants'!$B$6)</f>
        <v>8.3431705828628372E-23</v>
      </c>
    </row>
    <row r="276" spans="1:16" x14ac:dyDescent="0.3">
      <c r="A276" t="s">
        <v>355</v>
      </c>
      <c r="B276" t="s">
        <v>364</v>
      </c>
      <c r="C276" s="2">
        <v>201.97063199999999</v>
      </c>
      <c r="D276">
        <v>29.65</v>
      </c>
      <c r="E276">
        <f>C276 * 'Reality Constants'!$B$2</f>
        <v>3.3538012521046394E-24</v>
      </c>
      <c r="F276">
        <f>E276 * ('Reality Constants'!$B$3 * 'Reality Constants'!$B$3)</f>
        <v>3.0142462437830678E-7</v>
      </c>
      <c r="G276">
        <f>F276 / 'Reality Constants'!$B$4</f>
        <v>188134452832.31284</v>
      </c>
      <c r="H276">
        <f>F276 / 'Reality Constants'!$B$5</f>
        <v>8.3729062327307444E-14</v>
      </c>
      <c r="N276">
        <v>250</v>
      </c>
      <c r="O276" t="s">
        <v>421</v>
      </c>
      <c r="P276">
        <f>N276 / ((1000/C276) * 'Reality Constants'!$B$6)</f>
        <v>8.3846991032879456E-23</v>
      </c>
    </row>
    <row r="277" spans="1:16" x14ac:dyDescent="0.3">
      <c r="A277" t="s">
        <v>365</v>
      </c>
      <c r="B277" t="s">
        <v>366</v>
      </c>
      <c r="C277" s="2">
        <v>202.97233600000001</v>
      </c>
      <c r="D277">
        <v>29.52</v>
      </c>
      <c r="E277">
        <f>C277 * 'Reality Constants'!$B$2</f>
        <v>3.3704349383795745E-24</v>
      </c>
      <c r="F277">
        <f>E277 * ('Reality Constants'!$B$3 * 'Reality Constants'!$B$3)</f>
        <v>3.0291958554641491E-7</v>
      </c>
      <c r="G277">
        <f>F277 / 'Reality Constants'!$B$4</f>
        <v>189067534201.98419</v>
      </c>
      <c r="H277">
        <f>F277 / 'Reality Constants'!$B$5</f>
        <v>8.4144329318448587E-14</v>
      </c>
      <c r="N277">
        <v>7400</v>
      </c>
      <c r="O277" t="s">
        <v>404</v>
      </c>
      <c r="P277">
        <f>N277 / ((1000/C277) * 'Reality Constants'!$B$6)</f>
        <v>2.4941801501162405E-21</v>
      </c>
    </row>
    <row r="278" spans="1:16" x14ac:dyDescent="0.3">
      <c r="A278" t="s">
        <v>367</v>
      </c>
      <c r="B278" t="s">
        <v>368</v>
      </c>
      <c r="C278" s="2">
        <v>203.97303700000001</v>
      </c>
      <c r="D278">
        <v>1.4</v>
      </c>
      <c r="E278">
        <f>C278 * 'Reality Constants'!$B$2</f>
        <v>3.3870519694476471E-24</v>
      </c>
      <c r="F278">
        <f>E278 * ('Reality Constants'!$B$3 * 'Reality Constants'!$B$3)</f>
        <v>3.0441304981918103E-7</v>
      </c>
      <c r="G278">
        <f>F278 / 'Reality Constants'!$B$4</f>
        <v>189999681283.06946</v>
      </c>
      <c r="H278">
        <f>F278 / 'Reality Constants'!$B$5</f>
        <v>8.4559180505328068E-14</v>
      </c>
      <c r="N278">
        <v>2.29</v>
      </c>
      <c r="O278" t="s">
        <v>414</v>
      </c>
      <c r="P278">
        <f>N278 / ((1000/C278) * 'Reality Constants'!$B$6)</f>
        <v>7.7565303010627708E-25</v>
      </c>
    </row>
    <row r="279" spans="1:16" x14ac:dyDescent="0.3">
      <c r="A279" t="s">
        <v>355</v>
      </c>
      <c r="B279" t="s">
        <v>369</v>
      </c>
      <c r="C279" s="2">
        <v>203.97348099999999</v>
      </c>
      <c r="D279">
        <v>6.8</v>
      </c>
      <c r="E279">
        <f>C279 * 'Reality Constants'!$B$2</f>
        <v>3.3870593422411133E-24</v>
      </c>
      <c r="F279">
        <f>E279 * ('Reality Constants'!$B$3 * 'Reality Constants'!$B$3)</f>
        <v>3.0441371245281198E-7</v>
      </c>
      <c r="G279">
        <f>F279 / 'Reality Constants'!$B$4</f>
        <v>190000094866.45151</v>
      </c>
      <c r="H279">
        <f>F279 / 'Reality Constants'!$B$5</f>
        <v>8.4559364570225552E-14</v>
      </c>
      <c r="N279">
        <v>250</v>
      </c>
      <c r="O279" t="s">
        <v>421</v>
      </c>
      <c r="P279">
        <f>N279 / ((1000/C279) * 'Reality Constants'!$B$6)</f>
        <v>8.4678462720026564E-23</v>
      </c>
    </row>
    <row r="280" spans="1:16" x14ac:dyDescent="0.3">
      <c r="A280" t="s">
        <v>365</v>
      </c>
      <c r="B280" t="s">
        <v>370</v>
      </c>
      <c r="C280" s="2">
        <v>204.97441000000001</v>
      </c>
      <c r="D280">
        <v>70.48</v>
      </c>
      <c r="E280">
        <f>C280 * 'Reality Constants'!$B$2</f>
        <v>3.4036801593382634E-24</v>
      </c>
      <c r="F280">
        <f>E280 * ('Reality Constants'!$B$3 * 'Reality Constants'!$B$3)</f>
        <v>3.0590751699690209E-7</v>
      </c>
      <c r="G280">
        <f>F280 / 'Reality Constants'!$B$4</f>
        <v>190932454328.19241</v>
      </c>
      <c r="H280">
        <f>F280 / 'Reality Constants'!$B$5</f>
        <v>8.4974310276917248E-14</v>
      </c>
      <c r="N280">
        <v>7400</v>
      </c>
      <c r="O280" t="s">
        <v>404</v>
      </c>
      <c r="P280">
        <f>N280 / ((1000/C280) * 'Reality Constants'!$B$6)</f>
        <v>2.5187821886416479E-21</v>
      </c>
    </row>
    <row r="281" spans="1:16" x14ac:dyDescent="0.3">
      <c r="A281" t="s">
        <v>367</v>
      </c>
      <c r="B281" t="s">
        <v>371</v>
      </c>
      <c r="C281" s="2">
        <v>205.97445500000001</v>
      </c>
      <c r="D281">
        <v>24.1</v>
      </c>
      <c r="E281">
        <f>C281 * 'Reality Constants'!$B$2</f>
        <v>3.4202862972700444E-24</v>
      </c>
      <c r="F281">
        <f>E281 * ('Reality Constants'!$B$3 * 'Reality Constants'!$B$3)</f>
        <v>3.0740000224340267E-7</v>
      </c>
      <c r="G281">
        <f>F281 / 'Reality Constants'!$B$4</f>
        <v>191863990349.14563</v>
      </c>
      <c r="H281">
        <f>F281 / 'Reality Constants'!$B$5</f>
        <v>8.5388889512056298E-14</v>
      </c>
      <c r="N281">
        <v>2.29</v>
      </c>
      <c r="O281" t="s">
        <v>414</v>
      </c>
      <c r="P281">
        <f>N281 / ((1000/C281) * 'Reality Constants'!$B$6)</f>
        <v>7.8326386906343417E-25</v>
      </c>
    </row>
    <row r="282" spans="1:16" x14ac:dyDescent="0.3">
      <c r="A282" t="s">
        <v>367</v>
      </c>
      <c r="B282" t="s">
        <v>372</v>
      </c>
      <c r="C282" s="2">
        <v>206.97588500000001</v>
      </c>
      <c r="D282">
        <v>22.1</v>
      </c>
      <c r="E282">
        <f>C282 * 'Reality Constants'!$B$2</f>
        <v>3.4369154336679303E-24</v>
      </c>
      <c r="F282">
        <f>E282 * ('Reality Constants'!$B$3 * 'Reality Constants'!$B$3)</f>
        <v>3.0889455448895476E-7</v>
      </c>
      <c r="G282">
        <f>F282 / 'Reality Constants'!$B$4</f>
        <v>192796816489.43256</v>
      </c>
      <c r="H282">
        <f>F282 / 'Reality Constants'!$B$5</f>
        <v>8.5804042913598547E-14</v>
      </c>
      <c r="N282">
        <v>2.29</v>
      </c>
      <c r="O282" t="s">
        <v>414</v>
      </c>
      <c r="P282">
        <f>N282 / ((1000/C282) * 'Reality Constants'!$B$6)</f>
        <v>7.8707203030554649E-25</v>
      </c>
    </row>
    <row r="283" spans="1:16" x14ac:dyDescent="0.3">
      <c r="A283" t="s">
        <v>367</v>
      </c>
      <c r="B283" t="s">
        <v>373</v>
      </c>
      <c r="C283" s="2">
        <v>207.976641</v>
      </c>
      <c r="D283">
        <v>52.4</v>
      </c>
      <c r="E283">
        <f>C283 * 'Reality Constants'!$B$2</f>
        <v>3.4535333780324912E-24</v>
      </c>
      <c r="F283">
        <f>E283 * ('Reality Constants'!$B$3 * 'Reality Constants'!$B$3)</f>
        <v>3.1038810084471573E-7</v>
      </c>
      <c r="G283">
        <f>F283 / 'Reality Constants'!$B$4</f>
        <v>193729014802.69354</v>
      </c>
      <c r="H283">
        <f>F283 / 'Reality Constants'!$B$5</f>
        <v>8.6218916901309926E-14</v>
      </c>
      <c r="N283">
        <v>2.29</v>
      </c>
      <c r="O283" t="s">
        <v>414</v>
      </c>
      <c r="P283">
        <f>N283 / ((1000/C283) * 'Reality Constants'!$B$6)</f>
        <v>7.9087762851212228E-25</v>
      </c>
    </row>
    <row r="284" spans="1:16" x14ac:dyDescent="0.3">
      <c r="A284" t="s">
        <v>374</v>
      </c>
      <c r="B284" t="s">
        <v>375</v>
      </c>
      <c r="C284" s="2">
        <v>208.980388</v>
      </c>
      <c r="D284">
        <v>100</v>
      </c>
      <c r="E284">
        <f>C284 * 'Reality Constants'!$B$2</f>
        <v>3.4702009891206034E-24</v>
      </c>
      <c r="F284">
        <f>E284 * ('Reality Constants'!$B$3 * 'Reality Constants'!$B$3)</f>
        <v>3.1188611102297693E-7</v>
      </c>
      <c r="G284">
        <f>F284 / 'Reality Constants'!$B$4</f>
        <v>194663999214.81873</v>
      </c>
      <c r="H284">
        <f>F284 / 'Reality Constants'!$B$5</f>
        <v>8.663503083971581E-14</v>
      </c>
      <c r="N284">
        <v>10.34</v>
      </c>
      <c r="O284" t="s">
        <v>406</v>
      </c>
      <c r="P284">
        <f>N284 / ((1000/C284) * 'Reality Constants'!$B$6)</f>
        <v>3.5882716903354377E-24</v>
      </c>
    </row>
    <row r="285" spans="1:16" x14ac:dyDescent="0.3">
      <c r="A285" t="s">
        <v>376</v>
      </c>
      <c r="B285" t="s">
        <v>377</v>
      </c>
      <c r="C285" s="2">
        <v>232.03805399999999</v>
      </c>
      <c r="D285">
        <v>100</v>
      </c>
      <c r="E285">
        <f>C285 * 'Reality Constants'!$B$2</f>
        <v>3.8530825414316866E-24</v>
      </c>
      <c r="F285">
        <f>E285 * ('Reality Constants'!$B$3 * 'Reality Constants'!$B$3)</f>
        <v>3.4629778882121469E-7</v>
      </c>
      <c r="G285">
        <f>F285 / 'Reality Constants'!$B$4</f>
        <v>216142079139.33081</v>
      </c>
      <c r="H285">
        <f>F285 / 'Reality Constants'!$B$5</f>
        <v>9.6193830228115195E-14</v>
      </c>
      <c r="N285">
        <v>176</v>
      </c>
      <c r="O285" t="s">
        <v>404</v>
      </c>
      <c r="P285">
        <f>N285 / ((1000/C285) * 'Reality Constants'!$B$6)</f>
        <v>6.781583776818334E-23</v>
      </c>
    </row>
    <row r="286" spans="1:16" x14ac:dyDescent="0.3">
      <c r="A286" t="s">
        <v>378</v>
      </c>
      <c r="B286" t="s">
        <v>379</v>
      </c>
      <c r="C286" s="2">
        <v>234.04094699999999</v>
      </c>
      <c r="D286">
        <v>6.0000000000000001E-3</v>
      </c>
      <c r="E286">
        <f>C286 * 'Reality Constants'!$B$2</f>
        <v>3.8863413622053508E-24</v>
      </c>
      <c r="F286">
        <f>E286 * ('Reality Constants'!$B$3 * 'Reality Constants'!$B$3)</f>
        <v>3.4928694256211573E-7</v>
      </c>
      <c r="G286">
        <f>F286 / 'Reality Constants'!$B$4</f>
        <v>218007762159.21002</v>
      </c>
      <c r="H286">
        <f>F286 / 'Reality Constants'!$B$5</f>
        <v>9.702415071169882E-14</v>
      </c>
      <c r="N286">
        <v>150000</v>
      </c>
      <c r="O286" t="s">
        <v>433</v>
      </c>
      <c r="P286">
        <f>N286 / ((1000/C286) * 'Reality Constants'!$B$6)</f>
        <v>5.8296482979076712E-20</v>
      </c>
    </row>
    <row r="287" spans="1:16" x14ac:dyDescent="0.3">
      <c r="A287" t="s">
        <v>378</v>
      </c>
      <c r="B287" t="s">
        <v>380</v>
      </c>
      <c r="C287" s="2">
        <v>235.043925</v>
      </c>
      <c r="D287">
        <v>0.72</v>
      </c>
      <c r="E287">
        <f>C287 * 'Reality Constants'!$B$2</f>
        <v>3.9029962037480233E-24</v>
      </c>
      <c r="F287">
        <f>E287 * ('Reality Constants'!$B$3 * 'Reality Constants'!$B$3)</f>
        <v>3.5078380507086749E-7</v>
      </c>
      <c r="G287">
        <f>F287 / 'Reality Constants'!$B$4</f>
        <v>218942030252.36945</v>
      </c>
      <c r="H287">
        <f>F287 / 'Reality Constants'!$B$5</f>
        <v>9.7439945853018751E-14</v>
      </c>
      <c r="N287">
        <v>15000000</v>
      </c>
      <c r="O287" t="s">
        <v>434</v>
      </c>
      <c r="P287">
        <f>N287 / ((1000/C287) * 'Reality Constants'!$B$6)</f>
        <v>5.8546311441381608E-18</v>
      </c>
    </row>
    <row r="288" spans="1:16" x14ac:dyDescent="0.3">
      <c r="A288" t="s">
        <v>378</v>
      </c>
      <c r="B288" t="s">
        <v>381</v>
      </c>
      <c r="C288" s="2">
        <v>238.05078599999999</v>
      </c>
      <c r="D288">
        <v>99.27</v>
      </c>
      <c r="E288">
        <f>C288 * 'Reality Constants'!$B$2</f>
        <v>3.9529263054011418E-24</v>
      </c>
      <c r="F288">
        <f>E288 * ('Reality Constants'!$B$3 * 'Reality Constants'!$B$3)</f>
        <v>3.5527129881442713E-7</v>
      </c>
      <c r="G288">
        <f>F288 / 'Reality Constants'!$B$4</f>
        <v>221742903544.5708</v>
      </c>
      <c r="H288">
        <f>F288 / 'Reality Constants'!$B$5</f>
        <v>9.8686471892896429E-14</v>
      </c>
      <c r="N288">
        <v>101</v>
      </c>
      <c r="O288" t="s">
        <v>427</v>
      </c>
      <c r="P288">
        <f>N288 / ((1000/C288) * 'Reality Constants'!$B$6)</f>
        <v>3.9925488850880106E-23</v>
      </c>
    </row>
    <row r="289" spans="10:16" x14ac:dyDescent="0.3">
      <c r="J289">
        <f>AVERAGE(J2:J288)</f>
        <v>2.5252833687116429E-17</v>
      </c>
      <c r="P289">
        <f>AVERAGE(P2:P288)</f>
        <v>2.3421431399896249E-20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Denomination values</vt:lpstr>
      <vt:lpstr>Reality Constants</vt:lpstr>
      <vt:lpstr>Atomic Masses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 Toshev</dc:creator>
  <cp:lastModifiedBy>Aleks Toshev</cp:lastModifiedBy>
  <dcterms:created xsi:type="dcterms:W3CDTF">2015-06-05T18:17:20Z</dcterms:created>
  <dcterms:modified xsi:type="dcterms:W3CDTF">2025-08-11T00:31:56Z</dcterms:modified>
</cp:coreProperties>
</file>